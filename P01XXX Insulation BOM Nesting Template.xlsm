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esktop\"/>
    </mc:Choice>
  </mc:AlternateContent>
  <xr:revisionPtr revIDLastSave="0" documentId="13_ncr:1_{2BC716A6-EB78-4C94-BF41-4AB99EE276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5" l="1"/>
  <c r="H4" i="15"/>
  <c r="H5" i="15"/>
  <c r="H6" i="15"/>
  <c r="H7" i="15"/>
  <c r="H8" i="15"/>
  <c r="H9" i="15"/>
  <c r="H10" i="15"/>
  <c r="H11" i="15"/>
  <c r="H12" i="15"/>
  <c r="H13" i="15"/>
  <c r="H14" i="15"/>
  <c r="H2" i="15"/>
</calcChain>
</file>

<file path=xl/sharedStrings.xml><?xml version="1.0" encoding="utf-8"?>
<sst xmlns="http://schemas.openxmlformats.org/spreadsheetml/2006/main" count="120" uniqueCount="81">
  <si>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</si>
  <si>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</si>
  <si>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</si>
  <si>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</si>
  <si>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</si>
  <si>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</si>
  <si>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</si>
  <si>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</si>
  <si>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ITEM #</t>
  </si>
  <si>
    <t>DESCRIPTION</t>
  </si>
  <si>
    <t>QTY.</t>
  </si>
  <si>
    <t>RAW MATERIAL 
NUMBER</t>
  </si>
  <si>
    <t>SUPPLIER</t>
  </si>
  <si>
    <t>SUB-ASSEMBLY</t>
  </si>
  <si>
    <t>REMARKS</t>
  </si>
  <si>
    <t>WIDTH 
(in.)</t>
  </si>
  <si>
    <t>FOAM 1.5" X 48" X 12' ECOMAXCI</t>
  </si>
  <si>
    <t>125 1/4"</t>
  </si>
  <si>
    <t>48"</t>
  </si>
  <si>
    <t>47 3/4"</t>
  </si>
  <si>
    <t>40 7/8"</t>
  </si>
  <si>
    <t>32"</t>
  </si>
  <si>
    <t>31 1/8"</t>
  </si>
  <si>
    <t>39 3/4"</t>
  </si>
  <si>
    <t>21 7/8"</t>
  </si>
  <si>
    <t>18"</t>
  </si>
  <si>
    <t>7 3/4"</t>
  </si>
  <si>
    <t>7 1/8"</t>
  </si>
  <si>
    <t>6 1/4"</t>
  </si>
  <si>
    <t>39 1/8"</t>
  </si>
  <si>
    <t>40 1/4"</t>
  </si>
  <si>
    <t>27 1/8"</t>
  </si>
  <si>
    <t>64 1/4"</t>
  </si>
  <si>
    <t>809-00020</t>
  </si>
  <si>
    <t>LENGTH
(in.)</t>
  </si>
  <si>
    <t>Sl#</t>
  </si>
  <si>
    <t>Insulation</t>
  </si>
  <si>
    <t>Raw material #</t>
  </si>
  <si>
    <t>Description</t>
  </si>
  <si>
    <t>Size (Area in INCH)</t>
  </si>
  <si>
    <t>FRP 1/2"</t>
  </si>
  <si>
    <t>813-00009</t>
  </si>
  <si>
    <t>FRP 1/2" x 4' x12' Class C White Glossy</t>
  </si>
  <si>
    <t>FRP 3/4"</t>
  </si>
  <si>
    <t>813-21190</t>
  </si>
  <si>
    <t>FRP 3/4" x 4' x 10' Class C White Glossy</t>
  </si>
  <si>
    <t>MDF</t>
  </si>
  <si>
    <t>813-10967</t>
  </si>
  <si>
    <t>MDF 3/4" x 49" x 97"</t>
  </si>
  <si>
    <t>NuPoly-Ceiling</t>
  </si>
  <si>
    <t>813-20069</t>
  </si>
  <si>
    <t>NuPoly 3/8" x 4' x 12' Class C White Dull</t>
  </si>
  <si>
    <t>NuPoly-Wall</t>
  </si>
  <si>
    <t>813-20068</t>
  </si>
  <si>
    <t>NuPoly 3/8" x 4' x 9' Class C White Dull</t>
  </si>
  <si>
    <t>Plywood 1/2"</t>
  </si>
  <si>
    <t>813-10958</t>
  </si>
  <si>
    <t>Plywood, 1/2" x 4' x 8'  CDX</t>
  </si>
  <si>
    <t>Plywood 3/4"</t>
  </si>
  <si>
    <t>813-10959</t>
  </si>
  <si>
    <t>Plywood, 3/4" x 4' x 8' CDX</t>
  </si>
  <si>
    <t>Sheetrock</t>
  </si>
  <si>
    <t>813-00243</t>
  </si>
  <si>
    <t>Sheetrock 1/2"x 4' x 8' XP Fire-Shield Type C Gypsum Board, Moisture Mold and Mildew Resistant</t>
  </si>
  <si>
    <t>ECOMAXci FR 3/4"</t>
  </si>
  <si>
    <t>809-00034</t>
  </si>
  <si>
    <t>Foam 3/4" x 4' x 8' ECOMAXci</t>
  </si>
  <si>
    <t>ECOMAXci FR 1.5"</t>
  </si>
  <si>
    <t>Foam 1.5" x 48" x 12' ECOMAXci</t>
  </si>
  <si>
    <t>5/8" Gypsum board</t>
  </si>
  <si>
    <t>813-00261</t>
  </si>
  <si>
    <t>Gypsum Board, 5/8" x 4' x 8', Mold Tough Fire Code Core, Green Type X</t>
  </si>
  <si>
    <t>Thermasheath</t>
  </si>
  <si>
    <t>809-00018</t>
  </si>
  <si>
    <t>Foam Thermasheath 1 1/2" x 48" x 8' 9.5"</t>
  </si>
  <si>
    <t>Blue Dow foam</t>
  </si>
  <si>
    <t>809-40535</t>
  </si>
  <si>
    <t>Styrofoam, 1/2" X 4' X 9' Blue Dow Foam</t>
  </si>
  <si>
    <t>LENGTH
(IN)</t>
  </si>
  <si>
    <t>WIDTH
(IN)</t>
  </si>
  <si>
    <t>THK.
(IN)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</si>
</sst>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 mmm\ yy"/>
    <numFmt numFmtId="165" formatCode="0.000"/>
    <numFmt numFmtId="166" formatCode="0.0000"/>
  </numFmts>
  <fonts count="12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7" fillId="0" borderId="0"/>
  </cellStyleXfs>
  <cellXfs count="2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/>
    </xf>
    <xf numFmtId="165" fontId="3" fillId="4" borderId="3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0" fillId="0" borderId="1" xfId="0" applyFont="1" applyBorder="1"/>
    <xf numFmtId="0" fontId="0" fillId="0" borderId="1" xfId="0" applyBorder="1"/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/>
    <xf numFmtId="166" fontId="10" fillId="0" borderId="1" xfId="0" applyNumberFormat="1" applyFont="1" applyBorder="1" applyAlignment="1">
      <alignment horizontal="center"/>
    </xf>
  </cellXfs>
  <cellStyles count="2">
    <cellStyle name="Normal" xfId="0" builtinId="0"/>
    <cellStyle name="Normal 2" xfId="1" xr:uid="{C80DBCA5-BB58-4AC8-8CE8-8280C5357AE7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182880</xdr:rowOff>
        </xdr:from>
        <xdr:to>
          <xdr:col>13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18" totalsRowShown="0">
  <autoFilter ref="A4:K18" xr:uid="{CDF9619B-F0E7-490D-BEFA-727196256470}"/>
  <tableColumns count="11">
    <tableColumn id="1" xr3:uid="{4774FE6E-D79F-4E40-98D1-FE10D40ABC07}" name="SL. NO." dataDxfId="13"/>
    <tableColumn id="2" xr3:uid="{9884691F-0A0D-47CB-8EF0-9AE590C29CC9}" name="PART#" dataDxfId="12" dataCellStyle="Normal 2"/>
    <tableColumn id="4" xr3:uid="{A4F222A3-F838-4FED-8402-8D5E4131929A}" name="ITEM #" dataDxfId="11"/>
    <tableColumn id="5" xr3:uid="{6C82C4FD-0222-4263-8F8F-1DE29AB0E7E9}" name="DESCRIPTION" dataDxfId="10"/>
    <tableColumn id="6" xr3:uid="{74DDC800-B5E7-459A-ABF8-ABAF51A457AC}" name="QTY." dataDxfId="9"/>
    <tableColumn id="7" xr3:uid="{119738FE-8C63-4234-ACE4-FA9F6A046F9C}" name="LENGTH_x000a_(in.)" dataDxfId="8"/>
    <tableColumn id="13" xr3:uid="{C239A00B-B21C-4EDF-924E-A49F0699B683}" name="WIDTH _x000a_(in.)" dataDxfId="7"/>
    <tableColumn id="8" xr3:uid="{E4370ABC-D39E-4392-8F0E-6B9C56981840}" name="RAW MATERIAL _x000a_NUMBER" dataDxfId="6"/>
    <tableColumn id="9" xr3:uid="{1A2B8888-81A1-4DB4-A951-BBABDB4647C7}" name="SUPPLIER" dataDxfId="5"/>
    <tableColumn id="10" xr3:uid="{709F9ABD-F4C3-4F5E-9F71-D158E141171F}" name="SUB-ASSEMBLY" dataDxfId="4"/>
    <tableColumn id="11" xr3:uid="{047AD226-E9D9-4FBE-A92A-B42E92B0B3A3}" name="REMARKS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tabSelected="1" zoomScale="70" zoomScaleNormal="70" workbookViewId="0">
      <selection activeCell="L14" sqref="L14"/>
    </sheetView>
  </sheetViews>
  <sheetFormatPr defaultRowHeight="14.4" x14ac:dyDescent="0.3"/>
  <cols>
    <col min="1" max="1" width="15.5546875" style="7" bestFit="1" customWidth="1"/>
    <col min="2" max="2" width="13.44140625" style="8" bestFit="1" customWidth="1"/>
    <col min="3" max="3" width="13.33203125" style="7" bestFit="1" customWidth="1"/>
    <col min="4" max="4" width="38.5546875" style="7" customWidth="1"/>
    <col min="5" max="5" width="26.21875" style="7" bestFit="1" customWidth="1"/>
    <col min="6" max="6" width="14.5546875" style="7" bestFit="1" customWidth="1"/>
    <col min="7" max="7" width="13.44140625" style="12" bestFit="1" customWidth="1"/>
    <col min="8" max="8" width="20.88671875" style="12" customWidth="1"/>
    <col min="9" max="9" width="17.21875" style="7" customWidth="1"/>
    <col min="10" max="10" width="15.33203125" style="7" bestFit="1" customWidth="1"/>
    <col min="11" max="11" width="14.5546875" style="7" bestFit="1" customWidth="1"/>
    <col min="12" max="12" width="13.44140625" style="7" customWidth="1"/>
    <col min="13" max="13" width="14" style="7" customWidth="1"/>
    <col min="14" max="14" width="42.33203125" bestFit="1" customWidth="1"/>
    <col min="15" max="17" width="11.5546875" customWidth="1"/>
    <col min="18" max="1024" width="11.5546875" style="7" customWidth="1"/>
  </cols>
  <sheetData>
    <row r="1" spans="1:1024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1"/>
      <c r="H1" s="11"/>
      <c r="I1" s="3"/>
      <c r="J1" s="3"/>
      <c r="K1" s="3"/>
      <c r="L1" s="3"/>
    </row>
    <row r="2" spans="1:1024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1"/>
      <c r="H2" s="11"/>
      <c r="I2" s="3"/>
      <c r="J2" s="3"/>
      <c r="K2" s="3"/>
      <c r="L2" s="3"/>
    </row>
    <row r="3" spans="1:1024" x14ac:dyDescent="0.3">
      <c r="E3" s="9"/>
    </row>
    <row r="4" spans="1:1024" ht="39.6" x14ac:dyDescent="0.3">
      <c r="A4" s="10" t="s">
        <v>6</v>
      </c>
      <c r="B4" s="10" t="s">
        <v>7</v>
      </c>
      <c r="C4" s="10" t="s">
        <v>8</v>
      </c>
      <c r="D4" s="10" t="s">
        <v>9</v>
      </c>
      <c r="E4" s="10" t="s">
        <v>10</v>
      </c>
      <c r="F4" s="13" t="s">
        <v>34</v>
      </c>
      <c r="G4" s="19" t="s">
        <v>15</v>
      </c>
      <c r="H4" s="15" t="s">
        <v>11</v>
      </c>
      <c r="I4" s="15" t="s">
        <v>12</v>
      </c>
      <c r="J4" s="15" t="s">
        <v>13</v>
      </c>
      <c r="K4" s="15" t="s">
        <v>14</v>
      </c>
      <c r="M4"/>
      <c r="Q4" s="7"/>
      <c r="AMJ4"/>
    </row>
    <row r="5" spans="1:1024" x14ac:dyDescent="0.3">
      <c r="A5" s="16"/>
      <c r="B5" s="20" t="s">
        <v>33</v>
      </c>
      <c r="C5" s="18">
        <v>1</v>
      </c>
      <c r="D5" s="20" t="s">
        <v>16</v>
      </c>
      <c r="E5" s="20">
        <v>3</v>
      </c>
      <c r="F5" s="20" t="s">
        <v>17</v>
      </c>
      <c r="G5" s="20" t="s">
        <v>18</v>
      </c>
      <c r="H5" s="17"/>
      <c r="I5" s="16"/>
      <c r="J5" s="16"/>
      <c r="K5" s="16"/>
      <c r="M5"/>
      <c r="Q5" s="7"/>
      <c r="AMJ5"/>
    </row>
    <row r="6" spans="1:1024" x14ac:dyDescent="0.3">
      <c r="A6" s="16"/>
      <c r="B6" s="20" t="s">
        <v>33</v>
      </c>
      <c r="C6" s="18">
        <v>2</v>
      </c>
      <c r="D6" s="20" t="s">
        <v>16</v>
      </c>
      <c r="E6" s="20">
        <v>1</v>
      </c>
      <c r="F6" s="20" t="s">
        <v>17</v>
      </c>
      <c r="G6" s="20" t="s">
        <v>19</v>
      </c>
      <c r="H6" s="17"/>
      <c r="I6" s="16"/>
      <c r="J6" s="16"/>
      <c r="K6" s="16"/>
      <c r="M6"/>
      <c r="Q6" s="7"/>
      <c r="AMJ6"/>
    </row>
    <row r="7" spans="1:1024" x14ac:dyDescent="0.3">
      <c r="A7" s="16"/>
      <c r="B7" s="20" t="s">
        <v>33</v>
      </c>
      <c r="C7" s="18">
        <v>3</v>
      </c>
      <c r="D7" s="20" t="s">
        <v>16</v>
      </c>
      <c r="E7" s="20">
        <v>1</v>
      </c>
      <c r="F7" s="20" t="s">
        <v>17</v>
      </c>
      <c r="G7" s="20" t="s">
        <v>20</v>
      </c>
      <c r="H7" s="17"/>
      <c r="I7" s="16"/>
      <c r="J7" s="16"/>
      <c r="K7" s="16"/>
      <c r="M7"/>
      <c r="Q7" s="7"/>
      <c r="AMJ7"/>
    </row>
    <row r="8" spans="1:1024" x14ac:dyDescent="0.3">
      <c r="A8" s="16"/>
      <c r="B8" s="20" t="s">
        <v>33</v>
      </c>
      <c r="C8" s="18">
        <v>4</v>
      </c>
      <c r="D8" s="20" t="s">
        <v>16</v>
      </c>
      <c r="E8" s="20">
        <v>1</v>
      </c>
      <c r="F8" s="20" t="s">
        <v>17</v>
      </c>
      <c r="G8" s="20" t="s">
        <v>21</v>
      </c>
      <c r="H8" s="17"/>
      <c r="I8" s="16"/>
      <c r="J8" s="16"/>
      <c r="K8" s="16"/>
      <c r="M8"/>
      <c r="Q8" s="7"/>
      <c r="AMJ8"/>
    </row>
    <row r="9" spans="1:1024" x14ac:dyDescent="0.3">
      <c r="A9" s="16"/>
      <c r="B9" s="20" t="s">
        <v>33</v>
      </c>
      <c r="C9" s="18">
        <v>5</v>
      </c>
      <c r="D9" s="20" t="s">
        <v>16</v>
      </c>
      <c r="E9" s="20">
        <v>3</v>
      </c>
      <c r="F9" s="20" t="s">
        <v>17</v>
      </c>
      <c r="G9" s="20" t="s">
        <v>21</v>
      </c>
      <c r="H9" s="17"/>
      <c r="I9" s="16"/>
      <c r="J9" s="16"/>
      <c r="K9" s="16"/>
      <c r="M9"/>
      <c r="Q9" s="7"/>
      <c r="AMJ9"/>
    </row>
    <row r="10" spans="1:1024" x14ac:dyDescent="0.3">
      <c r="A10" s="16"/>
      <c r="B10" s="20" t="s">
        <v>33</v>
      </c>
      <c r="C10" s="18">
        <v>6</v>
      </c>
      <c r="D10" s="20" t="s">
        <v>16</v>
      </c>
      <c r="E10" s="20">
        <v>1</v>
      </c>
      <c r="F10" s="20" t="s">
        <v>17</v>
      </c>
      <c r="G10" s="20" t="s">
        <v>22</v>
      </c>
      <c r="H10" s="17"/>
      <c r="I10" s="16"/>
      <c r="J10" s="16"/>
      <c r="K10" s="16"/>
      <c r="M10"/>
      <c r="Q10" s="7"/>
      <c r="AMJ10"/>
    </row>
    <row r="11" spans="1:1024" x14ac:dyDescent="0.3">
      <c r="A11" s="16"/>
      <c r="B11" s="20" t="s">
        <v>33</v>
      </c>
      <c r="C11" s="18">
        <v>7</v>
      </c>
      <c r="D11" s="20" t="s">
        <v>16</v>
      </c>
      <c r="E11" s="20">
        <v>1</v>
      </c>
      <c r="F11" s="20" t="s">
        <v>17</v>
      </c>
      <c r="G11" s="20" t="s">
        <v>23</v>
      </c>
      <c r="H11" s="17"/>
      <c r="I11" s="16"/>
      <c r="J11" s="16"/>
      <c r="K11" s="16"/>
      <c r="M11"/>
      <c r="Q11" s="7"/>
      <c r="AMJ11"/>
    </row>
    <row r="12" spans="1:1024" x14ac:dyDescent="0.3">
      <c r="A12" s="16"/>
      <c r="B12" s="20" t="s">
        <v>33</v>
      </c>
      <c r="C12" s="18">
        <v>8</v>
      </c>
      <c r="D12" s="20" t="s">
        <v>16</v>
      </c>
      <c r="E12" s="20">
        <v>1</v>
      </c>
      <c r="F12" s="20" t="s">
        <v>17</v>
      </c>
      <c r="G12" s="20" t="s">
        <v>24</v>
      </c>
      <c r="H12" s="17"/>
      <c r="I12" s="16"/>
      <c r="J12" s="16"/>
      <c r="K12" s="16"/>
      <c r="M12"/>
      <c r="Q12" s="7"/>
      <c r="AMJ12"/>
    </row>
    <row r="13" spans="1:1024" x14ac:dyDescent="0.3">
      <c r="A13" s="16"/>
      <c r="B13" s="20" t="s">
        <v>33</v>
      </c>
      <c r="C13" s="18">
        <v>9</v>
      </c>
      <c r="D13" s="20" t="s">
        <v>16</v>
      </c>
      <c r="E13" s="20">
        <v>1</v>
      </c>
      <c r="F13" s="20" t="s">
        <v>17</v>
      </c>
      <c r="G13" s="20" t="s">
        <v>25</v>
      </c>
      <c r="H13" s="17"/>
      <c r="I13" s="16"/>
      <c r="J13" s="16"/>
      <c r="K13" s="16"/>
      <c r="M13"/>
      <c r="Q13" s="7"/>
      <c r="AMJ13"/>
    </row>
    <row r="14" spans="1:1024" x14ac:dyDescent="0.3">
      <c r="A14" s="16"/>
      <c r="B14" s="20" t="s">
        <v>33</v>
      </c>
      <c r="C14" s="18">
        <v>10</v>
      </c>
      <c r="D14" s="20" t="s">
        <v>16</v>
      </c>
      <c r="E14" s="20">
        <v>1</v>
      </c>
      <c r="F14" s="20" t="s">
        <v>17</v>
      </c>
      <c r="G14" s="20" t="s">
        <v>26</v>
      </c>
      <c r="H14" s="17"/>
      <c r="I14" s="16"/>
      <c r="J14" s="16"/>
      <c r="K14" s="16"/>
      <c r="M14"/>
      <c r="Q14" s="7"/>
      <c r="AMJ14"/>
    </row>
    <row r="15" spans="1:1024" x14ac:dyDescent="0.3">
      <c r="A15" s="16"/>
      <c r="B15" s="20" t="s">
        <v>33</v>
      </c>
      <c r="C15" s="18">
        <v>11</v>
      </c>
      <c r="D15" s="20" t="s">
        <v>16</v>
      </c>
      <c r="E15" s="20">
        <v>1</v>
      </c>
      <c r="F15" s="20" t="s">
        <v>17</v>
      </c>
      <c r="G15" s="20" t="s">
        <v>27</v>
      </c>
      <c r="H15" s="17"/>
      <c r="I15" s="16"/>
      <c r="J15" s="16"/>
      <c r="K15" s="16"/>
      <c r="M15"/>
      <c r="Q15" s="7"/>
      <c r="AMJ15"/>
    </row>
    <row r="16" spans="1:1024" x14ac:dyDescent="0.3">
      <c r="A16" s="16"/>
      <c r="B16" s="20" t="s">
        <v>33</v>
      </c>
      <c r="C16" s="18">
        <v>12</v>
      </c>
      <c r="D16" s="20" t="s">
        <v>16</v>
      </c>
      <c r="E16" s="20">
        <v>2</v>
      </c>
      <c r="F16" s="20" t="s">
        <v>17</v>
      </c>
      <c r="G16" s="20" t="s">
        <v>28</v>
      </c>
      <c r="H16" s="17"/>
      <c r="I16" s="16"/>
      <c r="J16" s="16"/>
      <c r="K16" s="16"/>
      <c r="M16"/>
      <c r="Q16" s="7"/>
      <c r="AMJ16"/>
    </row>
    <row r="17" spans="1:1024" x14ac:dyDescent="0.3">
      <c r="A17" s="16"/>
      <c r="B17" s="20" t="s">
        <v>33</v>
      </c>
      <c r="C17" s="18">
        <v>13</v>
      </c>
      <c r="D17" s="20" t="s">
        <v>16</v>
      </c>
      <c r="E17" s="20">
        <v>1</v>
      </c>
      <c r="F17" s="20" t="s">
        <v>29</v>
      </c>
      <c r="G17" s="20" t="s">
        <v>30</v>
      </c>
      <c r="H17" s="17"/>
      <c r="I17" s="16"/>
      <c r="J17" s="16"/>
      <c r="K17" s="16"/>
      <c r="M17"/>
      <c r="Q17" s="7"/>
      <c r="AMJ17"/>
    </row>
    <row r="18" spans="1:1024" x14ac:dyDescent="0.3">
      <c r="A18" s="16"/>
      <c r="B18" s="20" t="s">
        <v>33</v>
      </c>
      <c r="C18" s="18">
        <v>14</v>
      </c>
      <c r="D18" s="20" t="s">
        <v>16</v>
      </c>
      <c r="E18" s="20">
        <v>1</v>
      </c>
      <c r="F18" s="20" t="s">
        <v>31</v>
      </c>
      <c r="G18" s="20" t="s">
        <v>32</v>
      </c>
      <c r="H18" s="17"/>
      <c r="I18" s="16"/>
      <c r="J18" s="16"/>
      <c r="K18" s="16"/>
      <c r="M18"/>
      <c r="Q18" s="7"/>
      <c r="AMJ18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2</xdr:row>
                    <xdr:rowOff>182880</xdr:rowOff>
                  </from>
                  <to>
                    <xdr:col>13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14"/>
  <sheetViews>
    <sheetView zoomScale="85" zoomScaleNormal="85" workbookViewId="0">
      <selection activeCell="F21" sqref="F21"/>
    </sheetView>
  </sheetViews>
  <sheetFormatPr defaultColWidth="8.88671875" defaultRowHeight="10.199999999999999" x14ac:dyDescent="0.2"/>
  <cols>
    <col min="1" max="1" width="4.33203125" style="14" bestFit="1" customWidth="1"/>
    <col min="2" max="2" width="17" style="14" bestFit="1" customWidth="1"/>
    <col min="3" max="3" width="16.44140625" style="14" bestFit="1" customWidth="1"/>
    <col min="4" max="4" width="75.77734375" style="14" customWidth="1"/>
    <col min="5" max="5" width="10.109375" style="14" bestFit="1" customWidth="1"/>
    <col min="6" max="6" width="10.109375" style="14" customWidth="1"/>
    <col min="7" max="7" width="9.88671875" style="14" customWidth="1"/>
    <col min="8" max="8" width="17" style="14" customWidth="1"/>
    <col min="9" max="9" width="10.5546875" style="14" bestFit="1" customWidth="1"/>
    <col min="10" max="10" width="54.6640625" style="14" bestFit="1" customWidth="1"/>
    <col min="11" max="16384" width="8.88671875" style="14"/>
  </cols>
  <sheetData>
    <row r="1" spans="1:8" ht="35.4" customHeight="1" x14ac:dyDescent="0.2">
      <c r="A1" s="21" t="s">
        <v>35</v>
      </c>
      <c r="B1" s="21" t="s">
        <v>36</v>
      </c>
      <c r="C1" s="21" t="s">
        <v>37</v>
      </c>
      <c r="D1" s="21" t="s">
        <v>38</v>
      </c>
      <c r="E1" s="22" t="s">
        <v>78</v>
      </c>
      <c r="F1" s="22" t="s">
        <v>79</v>
      </c>
      <c r="G1" s="22" t="s">
        <v>80</v>
      </c>
      <c r="H1" s="22" t="s">
        <v>39</v>
      </c>
    </row>
    <row r="2" spans="1:8" ht="14.4" x14ac:dyDescent="0.3">
      <c r="A2" s="23">
        <v>1</v>
      </c>
      <c r="B2" s="24" t="s">
        <v>40</v>
      </c>
      <c r="C2" s="25" t="s">
        <v>41</v>
      </c>
      <c r="D2" s="23" t="s">
        <v>42</v>
      </c>
      <c r="E2" s="26">
        <v>144</v>
      </c>
      <c r="F2" s="26">
        <v>48</v>
      </c>
      <c r="G2" s="28">
        <v>0.5</v>
      </c>
      <c r="H2" s="26">
        <f>$E2*$F2</f>
        <v>6912</v>
      </c>
    </row>
    <row r="3" spans="1:8" ht="14.4" x14ac:dyDescent="0.3">
      <c r="A3" s="23">
        <v>2</v>
      </c>
      <c r="B3" s="24" t="s">
        <v>43</v>
      </c>
      <c r="C3" s="25" t="s">
        <v>44</v>
      </c>
      <c r="D3" s="23" t="s">
        <v>45</v>
      </c>
      <c r="E3" s="26">
        <v>120</v>
      </c>
      <c r="F3" s="26">
        <v>48</v>
      </c>
      <c r="G3" s="28">
        <v>0.75</v>
      </c>
      <c r="H3" s="26">
        <f t="shared" ref="H3:H14" si="0">$E3*$F3</f>
        <v>5760</v>
      </c>
    </row>
    <row r="4" spans="1:8" ht="14.4" x14ac:dyDescent="0.3">
      <c r="A4" s="23">
        <v>3</v>
      </c>
      <c r="B4" s="24" t="s">
        <v>46</v>
      </c>
      <c r="C4" s="25" t="s">
        <v>47</v>
      </c>
      <c r="D4" s="23" t="s">
        <v>48</v>
      </c>
      <c r="E4" s="26">
        <v>97</v>
      </c>
      <c r="F4" s="26">
        <v>49</v>
      </c>
      <c r="G4" s="28">
        <v>0.75</v>
      </c>
      <c r="H4" s="26">
        <f t="shared" si="0"/>
        <v>4753</v>
      </c>
    </row>
    <row r="5" spans="1:8" ht="11.4" x14ac:dyDescent="0.2">
      <c r="A5" s="23">
        <v>4</v>
      </c>
      <c r="B5" s="23" t="s">
        <v>49</v>
      </c>
      <c r="C5" s="25" t="s">
        <v>50</v>
      </c>
      <c r="D5" s="23" t="s">
        <v>51</v>
      </c>
      <c r="E5" s="26">
        <v>144</v>
      </c>
      <c r="F5" s="26">
        <v>48</v>
      </c>
      <c r="G5" s="28">
        <v>0.375</v>
      </c>
      <c r="H5" s="26">
        <f t="shared" si="0"/>
        <v>6912</v>
      </c>
    </row>
    <row r="6" spans="1:8" ht="11.4" x14ac:dyDescent="0.2">
      <c r="A6" s="23">
        <v>5</v>
      </c>
      <c r="B6" s="23" t="s">
        <v>52</v>
      </c>
      <c r="C6" s="25" t="s">
        <v>53</v>
      </c>
      <c r="D6" s="23" t="s">
        <v>54</v>
      </c>
      <c r="E6" s="26">
        <v>108</v>
      </c>
      <c r="F6" s="26">
        <v>48</v>
      </c>
      <c r="G6" s="28">
        <v>0.375</v>
      </c>
      <c r="H6" s="26">
        <f t="shared" si="0"/>
        <v>5184</v>
      </c>
    </row>
    <row r="7" spans="1:8" ht="11.4" x14ac:dyDescent="0.2">
      <c r="A7" s="23">
        <v>6</v>
      </c>
      <c r="B7" s="23" t="s">
        <v>55</v>
      </c>
      <c r="C7" s="25" t="s">
        <v>56</v>
      </c>
      <c r="D7" s="23" t="s">
        <v>57</v>
      </c>
      <c r="E7" s="26">
        <v>96</v>
      </c>
      <c r="F7" s="26">
        <v>48</v>
      </c>
      <c r="G7" s="28">
        <v>0.5</v>
      </c>
      <c r="H7" s="26">
        <f t="shared" si="0"/>
        <v>4608</v>
      </c>
    </row>
    <row r="8" spans="1:8" ht="11.4" x14ac:dyDescent="0.2">
      <c r="A8" s="23">
        <v>7</v>
      </c>
      <c r="B8" s="23" t="s">
        <v>58</v>
      </c>
      <c r="C8" s="25" t="s">
        <v>59</v>
      </c>
      <c r="D8" s="23" t="s">
        <v>60</v>
      </c>
      <c r="E8" s="26">
        <v>96</v>
      </c>
      <c r="F8" s="26">
        <v>48</v>
      </c>
      <c r="G8" s="28">
        <v>0.75</v>
      </c>
      <c r="H8" s="26">
        <f t="shared" si="0"/>
        <v>4608</v>
      </c>
    </row>
    <row r="9" spans="1:8" ht="11.4" x14ac:dyDescent="0.2">
      <c r="A9" s="23">
        <v>8</v>
      </c>
      <c r="B9" s="23" t="s">
        <v>61</v>
      </c>
      <c r="C9" s="25" t="s">
        <v>62</v>
      </c>
      <c r="D9" s="23" t="s">
        <v>63</v>
      </c>
      <c r="E9" s="26">
        <v>96</v>
      </c>
      <c r="F9" s="26">
        <v>48</v>
      </c>
      <c r="G9" s="28">
        <v>0.5</v>
      </c>
      <c r="H9" s="26">
        <f t="shared" si="0"/>
        <v>4608</v>
      </c>
    </row>
    <row r="10" spans="1:8" ht="11.4" x14ac:dyDescent="0.2">
      <c r="A10" s="23">
        <v>9</v>
      </c>
      <c r="B10" s="23" t="s">
        <v>64</v>
      </c>
      <c r="C10" s="25" t="s">
        <v>65</v>
      </c>
      <c r="D10" s="23" t="s">
        <v>66</v>
      </c>
      <c r="E10" s="26">
        <v>96</v>
      </c>
      <c r="F10" s="26">
        <v>48</v>
      </c>
      <c r="G10" s="28">
        <v>0.75</v>
      </c>
      <c r="H10" s="26">
        <f t="shared" si="0"/>
        <v>4608</v>
      </c>
    </row>
    <row r="11" spans="1:8" ht="11.4" x14ac:dyDescent="0.2">
      <c r="A11" s="23">
        <v>10</v>
      </c>
      <c r="B11" s="23" t="s">
        <v>67</v>
      </c>
      <c r="C11" s="25" t="s">
        <v>33</v>
      </c>
      <c r="D11" s="23" t="s">
        <v>68</v>
      </c>
      <c r="E11" s="26">
        <v>144</v>
      </c>
      <c r="F11" s="26">
        <v>48</v>
      </c>
      <c r="G11" s="28">
        <v>1.5</v>
      </c>
      <c r="H11" s="26">
        <f t="shared" si="0"/>
        <v>6912</v>
      </c>
    </row>
    <row r="12" spans="1:8" ht="13.2" x14ac:dyDescent="0.25">
      <c r="A12" s="23">
        <v>11</v>
      </c>
      <c r="B12" s="27" t="s">
        <v>69</v>
      </c>
      <c r="C12" s="25" t="s">
        <v>70</v>
      </c>
      <c r="D12" s="23" t="s">
        <v>71</v>
      </c>
      <c r="E12" s="26">
        <v>96</v>
      </c>
      <c r="F12" s="26">
        <v>48</v>
      </c>
      <c r="G12" s="28">
        <v>0.625</v>
      </c>
      <c r="H12" s="26">
        <f t="shared" si="0"/>
        <v>4608</v>
      </c>
    </row>
    <row r="13" spans="1:8" ht="11.4" x14ac:dyDescent="0.2">
      <c r="A13" s="23">
        <v>12</v>
      </c>
      <c r="B13" s="23" t="s">
        <v>72</v>
      </c>
      <c r="C13" s="25" t="s">
        <v>73</v>
      </c>
      <c r="D13" s="23" t="s">
        <v>74</v>
      </c>
      <c r="E13" s="26">
        <v>105.5</v>
      </c>
      <c r="F13" s="26">
        <v>48</v>
      </c>
      <c r="G13" s="28">
        <v>1.5</v>
      </c>
      <c r="H13" s="26">
        <f t="shared" si="0"/>
        <v>5064</v>
      </c>
    </row>
    <row r="14" spans="1:8" ht="11.4" x14ac:dyDescent="0.2">
      <c r="A14" s="23">
        <v>13</v>
      </c>
      <c r="B14" s="23" t="s">
        <v>75</v>
      </c>
      <c r="C14" s="25" t="s">
        <v>76</v>
      </c>
      <c r="D14" s="23" t="s">
        <v>77</v>
      </c>
      <c r="E14" s="26">
        <v>108</v>
      </c>
      <c r="F14" s="26">
        <v>48</v>
      </c>
      <c r="G14" s="28">
        <v>0.5</v>
      </c>
      <c r="H14" s="26">
        <f t="shared" si="0"/>
        <v>5184</v>
      </c>
    </row>
  </sheetData>
  <dataConsolidate/>
  <phoneticPr fontId="5" type="noConversion"/>
  <conditionalFormatting sqref="C21:C26">
    <cfRule type="duplicateValues" dxfId="2" priority="4"/>
  </conditionalFormatting>
  <conditionalFormatting sqref="C54:C55 C15:C20 C66:C1048576">
    <cfRule type="duplicateValues" dxfId="1" priority="9"/>
  </conditionalFormatting>
  <conditionalFormatting sqref="C1:C14">
    <cfRule type="duplicateValues" dxfId="0" priority="1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SAIN-2</cp:lastModifiedBy>
  <cp:lastPrinted>2022-06-08T05:42:53Z</cp:lastPrinted>
  <dcterms:created xsi:type="dcterms:W3CDTF">2015-06-05T18:17:20Z</dcterms:created>
  <dcterms:modified xsi:type="dcterms:W3CDTF">2023-08-30T04:48:49Z</dcterms:modified>
</cp:coreProperties>
</file>