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VAS-1\Dropbox\FBD\IMP E-Mails and Information\STANDARDS\FORMATS\Metal Fab BOM\Nesting BOM Template For Multiple Purchase Length\"/>
    </mc:Choice>
  </mc:AlternateContent>
  <xr:revisionPtr revIDLastSave="0" documentId="13_ncr:1_{055881B7-5C08-4493-B916-9FC7BEC4B1C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Sheet2" sheetId="15" r:id="rId2"/>
    <sheet name="NestingSummary" sheetId="43" r:id="rId3"/>
    <sheet name="DetailedNesting" sheetId="4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15" l="1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13" i="15"/>
  <c r="B4" i="15"/>
  <c r="B3" i="15"/>
  <c r="B2" i="15"/>
</calcChain>
</file>

<file path=xl/sharedStrings.xml><?xml version="1.0" encoding="utf-8"?>
<sst xmlns="http://schemas.openxmlformats.org/spreadsheetml/2006/main" count="417" uniqueCount="178">
  <si>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</si>
  <si>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</si>
  <si>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</si>
  <si>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</si>
  <si>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</si>
  <si>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</si>
  <si>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</si>
  <si>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</si>
  <si>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</si>
  <si>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</si>
  <si>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</si>
  <si>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</si>
  <si>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</si>
  <si>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</si>
  <si>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</si>
  <si>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</si>
  <si>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</si>
  <si>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</si>
  <si>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</si>
  <si>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</si>
  <si>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</si>
  <si>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</si>
  <si>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</si>
  <si>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</si>
  <si>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</si>
  <si>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</si>
  <si>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</si>
  <si>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</si>
  <si>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</si>
  <si>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</si>
  <si>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</si>
  <si>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</si>
  <si>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</si>
  <si>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</si>
  <si>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</si>
  <si>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</si>
  <si>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</si>
  <si>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</si>
  <si>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</si>
  <si>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</si>
  <si>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</si>
  <si>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</si>
  <si>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</si>
  <si>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</si>
  <si>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</si>
  <si>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</si>
  <si>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</si>
  <si>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</si>
  <si>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</si>
  <si>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</si>
  <si>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</si>
  <si>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</si>
  <si>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</si>
  <si>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</si>
  <si>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</si>
  <si>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</si>
  <si>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</si>
  <si>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</si>
  <si>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</si>
  <si>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</si>
  <si>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</si>
  <si>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</si>
  <si>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</si>
  <si>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</si>
  <si>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</si>
  <si>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</si>
  <si>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</si>
  <si>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</si>
  <si>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</si>
  <si>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</si>
  <si>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</si>
  <si>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</si>
  <si>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</si>
  <si>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</si>
  <si>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</si>
  <si>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</si>
  <si>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</si>
  <si>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</si>
  <si>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</si>
  <si>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</si>
  <si>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</si>
  <si>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</si>
  <si>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</si>
  <si>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</si>
  <si>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</si>
  <si>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</si>
  <si>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</si>
  <si>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</si>
  <si>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</si>
  <si>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</si>
  <si>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</si>
  <si>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</si>
  <si>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</si>
  <si>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</si>
  <si>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</si>
  <si>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</si>
  <si>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</si>
  <si>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</si>
  <si>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</si>
  <si>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</si>
  <si>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</si>
  <si>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</si>
  <si>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</si>
  <si>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</si>
  <si>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</si>
  <si>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</si>
  <si>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</si>
  <si>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</si>
  <si>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</si>
  <si>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</si>
  <si>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</si>
  <si>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</si>
  <si>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</si>
  <si>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</si>
  <si>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</si>
  <si>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</si>
  <si>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</si>
  <si>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</si>
  <si>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</si>
  <si>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</si>
  <si>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</si>
  <si>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</si>
  <si>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</si>
  <si>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</si>
  <si>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</si>
  <si>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</si>
  <si>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</si>
  <si>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</si>
  <si>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</si>
  <si>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C</t>
  </si>
  <si>
    <t>B</t>
  </si>
  <si>
    <t>A</t>
  </si>
  <si>
    <t>Item Description</t>
  </si>
  <si>
    <t>Raw Material</t>
  </si>
  <si>
    <t>Purchase Length</t>
  </si>
  <si>
    <t>Cut Length1</t>
  </si>
  <si>
    <t>Cut Length2</t>
  </si>
  <si>
    <t>Cut Length3</t>
  </si>
  <si>
    <t>Cut Length4</t>
  </si>
  <si>
    <t>Cut Length5</t>
  </si>
  <si>
    <t>Total Cut Length</t>
  </si>
  <si>
    <t>Total Waste</t>
  </si>
  <si>
    <t>Kerf &amp; Square off</t>
  </si>
  <si>
    <t>Total wastage after Kerf &amp; Square off</t>
  </si>
  <si>
    <t>Raw Material Number</t>
  </si>
  <si>
    <t>Qty.</t>
  </si>
  <si>
    <t>Purchase Length (inches)</t>
  </si>
  <si>
    <t>Purchase Length(ft)</t>
  </si>
  <si>
    <t>Total Length(ft)</t>
  </si>
  <si>
    <t>P01488-FLOOR</t>
  </si>
  <si>
    <t>199 1/2”</t>
  </si>
  <si>
    <t>767 1/2”</t>
  </si>
  <si>
    <t>154 3/8”</t>
  </si>
  <si>
    <t>173 3/4”</t>
  </si>
  <si>
    <t>167 7/8”</t>
  </si>
  <si>
    <t>102 3/4”</t>
  </si>
  <si>
    <t>20 7/8”</t>
  </si>
  <si>
    <t>166”</t>
  </si>
  <si>
    <t>146 3/4”</t>
  </si>
  <si>
    <t>25 3/4”</t>
  </si>
  <si>
    <t>47 1/8”</t>
  </si>
  <si>
    <t>39”</t>
  </si>
  <si>
    <t>24 1/4”</t>
  </si>
  <si>
    <t>180 1/4”</t>
  </si>
  <si>
    <t>D</t>
  </si>
  <si>
    <t>29 1/2”</t>
  </si>
  <si>
    <t>30 1/8”</t>
  </si>
  <si>
    <t>112 3/8”</t>
  </si>
  <si>
    <t>144 3/4”</t>
  </si>
  <si>
    <t>75 1/2”</t>
  </si>
  <si>
    <t>161 3/4”</t>
  </si>
  <si>
    <t>139 3/8”</t>
  </si>
  <si>
    <t>133 1/2”</t>
  </si>
  <si>
    <t>215 1/4”</t>
  </si>
  <si>
    <t>209 3/4”</t>
  </si>
  <si>
    <t>145 3/8”</t>
  </si>
  <si>
    <t>Cut Length6</t>
  </si>
  <si>
    <t>Cut Length7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</si>
</sst>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7" fillId="0" borderId="0"/>
  </cellStyleXfs>
  <cellXfs count="2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6" fillId="0" borderId="0" xfId="0" applyFont="1"/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12" fontId="2" fillId="0" borderId="2" xfId="0" applyNumberFormat="1" applyFont="1" applyBorder="1" applyAlignment="1">
      <alignment horizontal="left" vertical="center"/>
    </xf>
    <xf numFmtId="10" fontId="0" fillId="0" borderId="0" xfId="0" applyNumberFormat="1"/>
    <xf numFmtId="0" fontId="2" fillId="5" borderId="2" xfId="1" applyFont="1" applyFill="1" applyBorder="1" applyAlignment="1">
      <alignment horizontal="left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left" vertical="center"/>
    </xf>
  </cellXfs>
  <cellStyles count="2">
    <cellStyle name="Normal" xfId="0" builtinId="0"/>
    <cellStyle name="Normal 2" xfId="1" xr:uid="{C80DBCA5-BB58-4AC8-8CE8-8280C5357AE7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41" totalsRowShown="0">
  <autoFilter ref="A4:K41" xr:uid="{CDF9619B-F0E7-490D-BEFA-727196256470}"/>
  <tableColumns count="11">
    <tableColumn id="1" xr3:uid="{4774FE6E-D79F-4E40-98D1-FE10D40ABC07}" name="SL. NO." dataDxfId="15"/>
    <tableColumn id="2" xr3:uid="{9884691F-0A0D-47CB-8EF0-9AE590C29CC9}" name="PART#" dataDxfId="14" dataCellStyle="Normal 2"/>
    <tableColumn id="3" xr3:uid="{3868E0BB-A494-4109-A7E8-244E1F15175E}" name="LEGEND" dataDxfId="13"/>
    <tableColumn id="4" xr3:uid="{A4F222A3-F838-4FED-8402-8D5E4131929A}" name="ITEM #" dataDxfId="12"/>
    <tableColumn id="5" xr3:uid="{6C82C4FD-0222-4263-8F8F-1DE29AB0E7E9}" name="DESCRIPTION" dataDxfId="11"/>
    <tableColumn id="6" xr3:uid="{74DDC800-B5E7-459A-ABF8-ABAF51A457AC}" name="QTY." dataDxfId="10"/>
    <tableColumn id="7" xr3:uid="{119738FE-8C63-4234-ACE4-FA9F6A046F9C}" name="LENGTH (in.)" dataDxfId="9"/>
    <tableColumn id="8" xr3:uid="{E4370ABC-D39E-4392-8F0E-6B9C56981840}" name="RAW MATERIAL _x000a_NUMBER" dataDxfId="8"/>
    <tableColumn id="9" xr3:uid="{1A2B8888-81A1-4DB4-A951-BBABDB4647C7}" name="SUPPLIER" dataDxfId="7"/>
    <tableColumn id="10" xr3:uid="{709F9ABD-F4C3-4F5E-9F71-D158E141171F}" name="SUB-ASSEMBLY" dataDxfId="6"/>
    <tableColumn id="11" xr3:uid="{047AD226-E9D9-4FBE-A92A-B42E92B0B3A3}" name="REMARKS" dataDxfId="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4F7CD7B-CE23-43A6-955E-0042163CE40B}" name="Table1" displayName="Table1_2" ref="A1:F11" totalsRowShown="0">
  <autoFilter ref="A1:F11" xr:uid="{64F7CD7B-CE23-43A6-955E-0042163CE40B}"/>
  <tableColumns count="6">
    <tableColumn id="1" xr3:uid="{E88EAFE2-F176-45ED-9190-BB95ED71B470}" name="Item Description"/>
    <tableColumn id="2" xr3:uid="{0DD08EC3-458A-4A7A-A197-DA3F207783A9}" name="Raw Material Number"/>
    <tableColumn id="3" xr3:uid="{789D7C40-FEE9-44F0-B214-5CF9A7412142}" name="Qty."/>
    <tableColumn id="4" xr3:uid="{20737EA3-65A6-410E-886B-560B0F96C430}" name="Purchase Length (inches)"/>
    <tableColumn id="5" xr3:uid="{FB40D4BC-182B-4E72-B701-3847D4772C7E}" name="Purchase Length(ft)"/>
    <tableColumn id="6" xr3:uid="{A6489DEC-3883-491B-8663-697EA04866DD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6AC2368-DE0C-41E3-92F8-A85089B07872}" name="Table1" displayName="Table1_1" ref="A1:N25" totalsRowShown="0">
  <autoFilter ref="A1:N25" xr:uid="{56AC2368-DE0C-41E3-92F8-A85089B07872}"/>
  <tableColumns count="14">
    <tableColumn id="1" xr3:uid="{54741433-F1FD-4989-8CEB-2EA42D85FA33}" name="Item Description"/>
    <tableColumn id="2" xr3:uid="{7B29090A-8B8F-4E61-8D04-A53E93E25D98}" name="Raw Material"/>
    <tableColumn id="3" xr3:uid="{DCD0C236-7D3A-4D2A-8CC9-29370B2B5746}" name="Purchase Length"/>
    <tableColumn id="4" xr3:uid="{8E3852B5-43D0-4317-B753-EDBAB15F8C08}" name="Cut Length1"/>
    <tableColumn id="5" xr3:uid="{C9582039-63E4-4383-AAB5-642C542CA411}" name="Cut Length2"/>
    <tableColumn id="6" xr3:uid="{9124B510-B29B-4E12-BBF0-29173642D54E}" name="Cut Length3"/>
    <tableColumn id="7" xr3:uid="{C119FB90-703E-4C3D-8EF2-581D7D19F7D4}" name="Cut Length4"/>
    <tableColumn id="8" xr3:uid="{CC1B6DF8-BD6A-49C0-BE52-ED553418BD86}" name="Cut Length5"/>
    <tableColumn id="9" xr3:uid="{FCC97E7C-8BAE-4602-8109-620F6ADC6D60}" name="Cut Length6"/>
    <tableColumn id="10" xr3:uid="{BC66DAFB-E125-4F36-8AB8-B10C4E61A6AB}" name="Cut Length7"/>
    <tableColumn id="11" xr3:uid="{DE10FD5D-2705-45D6-B231-1D9312171DC7}" name="Total Cut Length"/>
    <tableColumn id="12" xr3:uid="{D76E0075-A830-4219-9B5C-383905F6C438}" name="Total Waste"/>
    <tableColumn id="13" xr3:uid="{27A458A1-7DC1-476E-B142-DE11F4585C99}" name="Kerf &amp; Square off"/>
    <tableColumn id="14" xr3:uid="{3FD1E551-D3CD-402A-8795-BD573FFFC33F}" name="Total wastage after Kerf &amp; Square of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41"/>
  <sheetViews>
    <sheetView topLeftCell="A14" zoomScale="115" zoomScaleNormal="115" workbookViewId="0">
      <selection activeCell="H7" sqref="H7"/>
    </sheetView>
  </sheetViews>
  <sheetFormatPr defaultRowHeight="14.4" x14ac:dyDescent="0.3"/>
  <cols>
    <col min="1" max="1" width="15.44140625" style="7" customWidth="1"/>
    <col min="2" max="2" width="18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1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1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1" x14ac:dyDescent="0.3">
      <c r="E3" s="9"/>
    </row>
    <row r="4" spans="1:11" ht="39.6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16" t="s">
        <v>13</v>
      </c>
      <c r="I4" s="16" t="s">
        <v>74</v>
      </c>
      <c r="J4" s="16" t="s">
        <v>75</v>
      </c>
      <c r="K4" s="16" t="s">
        <v>76</v>
      </c>
    </row>
    <row r="5" spans="1:11" x14ac:dyDescent="0.3">
      <c r="A5" s="17"/>
      <c r="B5" s="20" t="s">
        <v>149</v>
      </c>
      <c r="C5" s="21" t="s">
        <v>131</v>
      </c>
      <c r="D5" s="21">
        <v>1</v>
      </c>
      <c r="E5" s="22" t="s">
        <v>80</v>
      </c>
      <c r="F5" s="21">
        <v>2</v>
      </c>
      <c r="G5" s="21" t="s">
        <v>150</v>
      </c>
      <c r="H5" s="18"/>
      <c r="I5" s="17"/>
      <c r="J5" s="17"/>
      <c r="K5" s="17"/>
    </row>
    <row r="6" spans="1:11" x14ac:dyDescent="0.3">
      <c r="A6" s="17"/>
      <c r="B6" s="20" t="s">
        <v>149</v>
      </c>
      <c r="C6" s="21" t="s">
        <v>131</v>
      </c>
      <c r="D6" s="21">
        <v>2</v>
      </c>
      <c r="E6" s="22" t="s">
        <v>80</v>
      </c>
      <c r="F6" s="21">
        <v>3</v>
      </c>
      <c r="G6" s="21" t="s">
        <v>150</v>
      </c>
      <c r="H6" s="18"/>
      <c r="I6" s="17"/>
      <c r="J6" s="17"/>
      <c r="K6" s="17"/>
    </row>
    <row r="7" spans="1:11" x14ac:dyDescent="0.3">
      <c r="A7" s="17"/>
      <c r="B7" s="20" t="s">
        <v>149</v>
      </c>
      <c r="C7" s="21" t="s">
        <v>131</v>
      </c>
      <c r="D7" s="21">
        <v>3</v>
      </c>
      <c r="E7" s="22" t="s">
        <v>80</v>
      </c>
      <c r="F7" s="21">
        <v>1</v>
      </c>
      <c r="G7" s="21" t="s">
        <v>150</v>
      </c>
      <c r="H7" s="18"/>
      <c r="I7" s="17"/>
      <c r="J7" s="17"/>
      <c r="K7" s="17"/>
    </row>
    <row r="8" spans="1:11" x14ac:dyDescent="0.3">
      <c r="A8" s="17"/>
      <c r="B8" s="20" t="s">
        <v>149</v>
      </c>
      <c r="C8" s="21" t="s">
        <v>131</v>
      </c>
      <c r="D8" s="21">
        <v>4</v>
      </c>
      <c r="E8" s="22" t="s">
        <v>80</v>
      </c>
      <c r="F8" s="21">
        <v>1</v>
      </c>
      <c r="G8" s="21" t="s">
        <v>150</v>
      </c>
      <c r="H8" s="18"/>
      <c r="I8" s="17"/>
      <c r="J8" s="17"/>
      <c r="K8" s="17"/>
    </row>
    <row r="9" spans="1:11" x14ac:dyDescent="0.3">
      <c r="A9" s="17"/>
      <c r="B9" s="20" t="s">
        <v>149</v>
      </c>
      <c r="C9" s="21" t="s">
        <v>131</v>
      </c>
      <c r="D9" s="21">
        <v>5</v>
      </c>
      <c r="E9" s="22" t="s">
        <v>80</v>
      </c>
      <c r="F9" s="21">
        <v>1</v>
      </c>
      <c r="G9" s="21" t="s">
        <v>150</v>
      </c>
      <c r="H9" s="18"/>
      <c r="I9" s="17"/>
      <c r="J9" s="17"/>
      <c r="K9" s="17"/>
    </row>
    <row r="10" spans="1:11" x14ac:dyDescent="0.3">
      <c r="A10" s="17"/>
      <c r="B10" s="20" t="s">
        <v>149</v>
      </c>
      <c r="C10" s="21" t="s">
        <v>131</v>
      </c>
      <c r="D10" s="21">
        <v>6</v>
      </c>
      <c r="E10" s="22" t="s">
        <v>80</v>
      </c>
      <c r="F10" s="21">
        <v>1</v>
      </c>
      <c r="G10" s="21" t="s">
        <v>150</v>
      </c>
      <c r="H10" s="18"/>
      <c r="I10" s="17"/>
      <c r="J10" s="17"/>
      <c r="K10" s="17"/>
    </row>
    <row r="11" spans="1:11" x14ac:dyDescent="0.3">
      <c r="A11" s="17"/>
      <c r="B11" s="20" t="s">
        <v>149</v>
      </c>
      <c r="C11" s="21" t="s">
        <v>130</v>
      </c>
      <c r="D11" s="21">
        <v>7</v>
      </c>
      <c r="E11" s="22" t="s">
        <v>61</v>
      </c>
      <c r="F11" s="21">
        <v>1</v>
      </c>
      <c r="G11" s="21" t="s">
        <v>151</v>
      </c>
      <c r="H11" s="18"/>
      <c r="I11" s="17"/>
      <c r="J11" s="17"/>
      <c r="K11" s="17"/>
    </row>
    <row r="12" spans="1:11" x14ac:dyDescent="0.3">
      <c r="A12" s="17"/>
      <c r="B12" s="20" t="s">
        <v>149</v>
      </c>
      <c r="C12" s="21" t="s">
        <v>130</v>
      </c>
      <c r="D12" s="21">
        <v>8</v>
      </c>
      <c r="E12" s="22" t="s">
        <v>61</v>
      </c>
      <c r="F12" s="21">
        <v>1</v>
      </c>
      <c r="G12" s="21" t="s">
        <v>151</v>
      </c>
      <c r="H12" s="18"/>
      <c r="I12" s="17"/>
      <c r="J12" s="17"/>
      <c r="K12" s="17"/>
    </row>
    <row r="13" spans="1:11" x14ac:dyDescent="0.3">
      <c r="A13" s="17"/>
      <c r="B13" s="20" t="s">
        <v>149</v>
      </c>
      <c r="C13" s="21" t="s">
        <v>129</v>
      </c>
      <c r="D13" s="21">
        <v>9</v>
      </c>
      <c r="E13" s="22" t="s">
        <v>81</v>
      </c>
      <c r="F13" s="21">
        <v>1</v>
      </c>
      <c r="G13" s="21" t="s">
        <v>152</v>
      </c>
      <c r="H13" s="18"/>
      <c r="I13" s="17"/>
      <c r="J13" s="17"/>
      <c r="K13" s="17"/>
    </row>
    <row r="14" spans="1:11" x14ac:dyDescent="0.3">
      <c r="A14" s="17"/>
      <c r="B14" s="20" t="s">
        <v>149</v>
      </c>
      <c r="C14" s="21" t="s">
        <v>129</v>
      </c>
      <c r="D14" s="21">
        <v>10</v>
      </c>
      <c r="E14" s="22" t="s">
        <v>81</v>
      </c>
      <c r="F14" s="21">
        <v>7</v>
      </c>
      <c r="G14" s="21" t="s">
        <v>153</v>
      </c>
      <c r="H14" s="18"/>
      <c r="I14" s="17"/>
      <c r="J14" s="17"/>
      <c r="K14" s="17"/>
    </row>
    <row r="15" spans="1:11" x14ac:dyDescent="0.3">
      <c r="A15" s="17"/>
      <c r="B15" s="20" t="s">
        <v>149</v>
      </c>
      <c r="C15" s="21" t="s">
        <v>129</v>
      </c>
      <c r="D15" s="21">
        <v>11</v>
      </c>
      <c r="E15" s="22" t="s">
        <v>81</v>
      </c>
      <c r="F15" s="21">
        <v>1</v>
      </c>
      <c r="G15" s="21" t="s">
        <v>154</v>
      </c>
      <c r="H15" s="18"/>
      <c r="I15" s="17"/>
      <c r="J15" s="17"/>
      <c r="K15" s="17"/>
    </row>
    <row r="16" spans="1:11" x14ac:dyDescent="0.3">
      <c r="A16" s="17"/>
      <c r="B16" s="20" t="s">
        <v>149</v>
      </c>
      <c r="C16" s="21" t="s">
        <v>129</v>
      </c>
      <c r="D16" s="21">
        <v>12</v>
      </c>
      <c r="E16" s="22" t="s">
        <v>81</v>
      </c>
      <c r="F16" s="21">
        <v>1</v>
      </c>
      <c r="G16" s="21" t="s">
        <v>155</v>
      </c>
      <c r="H16" s="18"/>
      <c r="I16" s="17"/>
      <c r="J16" s="17"/>
      <c r="K16" s="17"/>
    </row>
    <row r="17" spans="1:11" x14ac:dyDescent="0.3">
      <c r="A17" s="17"/>
      <c r="B17" s="20" t="s">
        <v>149</v>
      </c>
      <c r="C17" s="21" t="s">
        <v>129</v>
      </c>
      <c r="D17" s="21">
        <v>13</v>
      </c>
      <c r="E17" s="22" t="s">
        <v>81</v>
      </c>
      <c r="F17" s="21">
        <v>6</v>
      </c>
      <c r="G17" s="21" t="s">
        <v>156</v>
      </c>
      <c r="H17" s="18"/>
      <c r="I17" s="17"/>
      <c r="J17" s="17"/>
      <c r="K17" s="17"/>
    </row>
    <row r="18" spans="1:11" x14ac:dyDescent="0.3">
      <c r="A18" s="17"/>
      <c r="B18" s="20" t="s">
        <v>149</v>
      </c>
      <c r="C18" s="21" t="s">
        <v>129</v>
      </c>
      <c r="D18" s="21">
        <v>14</v>
      </c>
      <c r="E18" s="22" t="s">
        <v>81</v>
      </c>
      <c r="F18" s="21">
        <v>13</v>
      </c>
      <c r="G18" s="21" t="s">
        <v>150</v>
      </c>
      <c r="H18" s="18"/>
      <c r="I18" s="17"/>
      <c r="J18" s="17"/>
      <c r="K18" s="17"/>
    </row>
    <row r="19" spans="1:11" x14ac:dyDescent="0.3">
      <c r="A19" s="17"/>
      <c r="B19" s="20" t="s">
        <v>149</v>
      </c>
      <c r="C19" s="21" t="s">
        <v>129</v>
      </c>
      <c r="D19" s="21">
        <v>15</v>
      </c>
      <c r="E19" s="22" t="s">
        <v>81</v>
      </c>
      <c r="F19" s="21">
        <v>1</v>
      </c>
      <c r="G19" s="21" t="s">
        <v>157</v>
      </c>
      <c r="H19" s="18"/>
      <c r="I19" s="17"/>
      <c r="J19" s="17"/>
      <c r="K19" s="17"/>
    </row>
    <row r="20" spans="1:11" x14ac:dyDescent="0.3">
      <c r="A20" s="17"/>
      <c r="B20" s="20" t="s">
        <v>149</v>
      </c>
      <c r="C20" s="21" t="s">
        <v>129</v>
      </c>
      <c r="D20" s="21">
        <v>16</v>
      </c>
      <c r="E20" s="22" t="s">
        <v>81</v>
      </c>
      <c r="F20" s="21">
        <v>1</v>
      </c>
      <c r="G20" s="21" t="s">
        <v>158</v>
      </c>
      <c r="H20" s="18"/>
      <c r="I20" s="17"/>
      <c r="J20" s="17"/>
      <c r="K20" s="17"/>
    </row>
    <row r="21" spans="1:11" x14ac:dyDescent="0.3">
      <c r="A21" s="17"/>
      <c r="B21" s="20" t="s">
        <v>149</v>
      </c>
      <c r="C21" s="21" t="s">
        <v>129</v>
      </c>
      <c r="D21" s="21">
        <v>17</v>
      </c>
      <c r="E21" s="22" t="s">
        <v>81</v>
      </c>
      <c r="F21" s="21">
        <v>2</v>
      </c>
      <c r="G21" s="21" t="s">
        <v>159</v>
      </c>
      <c r="H21" s="18"/>
      <c r="I21" s="17"/>
      <c r="J21" s="17"/>
      <c r="K21" s="17"/>
    </row>
    <row r="22" spans="1:11" x14ac:dyDescent="0.3">
      <c r="A22" s="17"/>
      <c r="B22" s="20" t="s">
        <v>149</v>
      </c>
      <c r="C22" s="21" t="s">
        <v>129</v>
      </c>
      <c r="D22" s="21">
        <v>18</v>
      </c>
      <c r="E22" s="22" t="s">
        <v>81</v>
      </c>
      <c r="F22" s="21">
        <v>1</v>
      </c>
      <c r="G22" s="21" t="s">
        <v>160</v>
      </c>
      <c r="H22" s="18"/>
      <c r="I22" s="17"/>
      <c r="J22" s="17"/>
      <c r="K22" s="17"/>
    </row>
    <row r="23" spans="1:11" x14ac:dyDescent="0.3">
      <c r="A23" s="17"/>
      <c r="B23" s="20" t="s">
        <v>149</v>
      </c>
      <c r="C23" s="21" t="s">
        <v>129</v>
      </c>
      <c r="D23" s="21">
        <v>19</v>
      </c>
      <c r="E23" s="22" t="s">
        <v>81</v>
      </c>
      <c r="F23" s="21">
        <v>1</v>
      </c>
      <c r="G23" s="21" t="s">
        <v>161</v>
      </c>
      <c r="H23" s="18"/>
      <c r="I23" s="17"/>
      <c r="J23" s="17"/>
      <c r="K23" s="17"/>
    </row>
    <row r="24" spans="1:11" x14ac:dyDescent="0.3">
      <c r="A24" s="17"/>
      <c r="B24" s="20" t="s">
        <v>149</v>
      </c>
      <c r="C24" s="21" t="s">
        <v>129</v>
      </c>
      <c r="D24" s="21">
        <v>20</v>
      </c>
      <c r="E24" s="22" t="s">
        <v>81</v>
      </c>
      <c r="F24" s="21">
        <v>1</v>
      </c>
      <c r="G24" s="21" t="s">
        <v>162</v>
      </c>
      <c r="H24" s="18"/>
      <c r="I24" s="17"/>
      <c r="J24" s="17"/>
      <c r="K24" s="17"/>
    </row>
    <row r="25" spans="1:11" x14ac:dyDescent="0.3">
      <c r="A25" s="17"/>
      <c r="B25" s="20" t="s">
        <v>149</v>
      </c>
      <c r="C25" s="21" t="s">
        <v>129</v>
      </c>
      <c r="D25" s="21">
        <v>21</v>
      </c>
      <c r="E25" s="22" t="s">
        <v>81</v>
      </c>
      <c r="F25" s="21">
        <v>1</v>
      </c>
      <c r="G25" s="21" t="s">
        <v>163</v>
      </c>
      <c r="H25" s="18"/>
      <c r="I25" s="17"/>
      <c r="J25" s="17"/>
      <c r="K25" s="17"/>
    </row>
    <row r="26" spans="1:11" x14ac:dyDescent="0.3">
      <c r="A26" s="17"/>
      <c r="B26" s="20" t="s">
        <v>149</v>
      </c>
      <c r="C26" s="21" t="s">
        <v>164</v>
      </c>
      <c r="D26" s="21">
        <v>22</v>
      </c>
      <c r="E26" s="22" t="s">
        <v>90</v>
      </c>
      <c r="F26" s="21">
        <v>2</v>
      </c>
      <c r="G26" s="21" t="s">
        <v>165</v>
      </c>
      <c r="H26" s="18"/>
      <c r="I26" s="17"/>
      <c r="J26" s="17"/>
      <c r="K26" s="17"/>
    </row>
    <row r="27" spans="1:11" x14ac:dyDescent="0.3">
      <c r="A27" s="17"/>
      <c r="B27" s="20" t="s">
        <v>149</v>
      </c>
      <c r="C27" s="21" t="s">
        <v>164</v>
      </c>
      <c r="D27" s="21">
        <v>23</v>
      </c>
      <c r="E27" s="22" t="s">
        <v>90</v>
      </c>
      <c r="F27" s="21">
        <v>2</v>
      </c>
      <c r="G27" s="21" t="s">
        <v>166</v>
      </c>
      <c r="H27" s="18"/>
      <c r="I27" s="17"/>
      <c r="J27" s="17"/>
      <c r="K27" s="17"/>
    </row>
    <row r="28" spans="1:11" x14ac:dyDescent="0.3">
      <c r="A28" s="17"/>
      <c r="B28" s="20">
        <v>1245685</v>
      </c>
      <c r="C28" s="21"/>
      <c r="D28" s="21"/>
      <c r="E28" s="22" t="s">
        <v>86</v>
      </c>
      <c r="F28" s="21">
        <v>1</v>
      </c>
      <c r="G28" s="21" t="s">
        <v>167</v>
      </c>
      <c r="H28" s="18"/>
      <c r="I28" s="17"/>
      <c r="J28" s="17"/>
      <c r="K28" s="17"/>
    </row>
    <row r="29" spans="1:11" x14ac:dyDescent="0.3">
      <c r="A29" s="17"/>
      <c r="B29" s="20">
        <v>1245686</v>
      </c>
      <c r="C29" s="21"/>
      <c r="D29" s="21"/>
      <c r="E29" s="22" t="s">
        <v>86</v>
      </c>
      <c r="F29" s="21">
        <v>1</v>
      </c>
      <c r="G29" s="21" t="s">
        <v>168</v>
      </c>
      <c r="H29" s="18"/>
      <c r="I29" s="17"/>
      <c r="J29" s="17"/>
      <c r="K29" s="17"/>
    </row>
    <row r="30" spans="1:11" x14ac:dyDescent="0.3">
      <c r="A30" s="17"/>
      <c r="B30" s="20">
        <v>1289502</v>
      </c>
      <c r="C30" s="21"/>
      <c r="D30" s="21"/>
      <c r="E30" s="22" t="s">
        <v>86</v>
      </c>
      <c r="F30" s="21">
        <v>1</v>
      </c>
      <c r="G30" s="21" t="s">
        <v>169</v>
      </c>
      <c r="H30" s="18"/>
      <c r="I30" s="17"/>
      <c r="J30" s="17"/>
      <c r="K30" s="17"/>
    </row>
    <row r="31" spans="1:11" x14ac:dyDescent="0.3">
      <c r="A31" s="17"/>
      <c r="B31" s="20">
        <v>1289503</v>
      </c>
      <c r="C31" s="21"/>
      <c r="D31" s="21"/>
      <c r="E31" s="22" t="s">
        <v>86</v>
      </c>
      <c r="F31" s="21">
        <v>1</v>
      </c>
      <c r="G31" s="21" t="s">
        <v>170</v>
      </c>
      <c r="H31" s="18"/>
      <c r="I31" s="17"/>
      <c r="J31" s="17"/>
      <c r="K31" s="17"/>
    </row>
    <row r="32" spans="1:11" x14ac:dyDescent="0.3">
      <c r="A32" s="17"/>
      <c r="B32" s="20">
        <v>1245684</v>
      </c>
      <c r="C32" s="21"/>
      <c r="D32" s="21"/>
      <c r="E32" s="22" t="s">
        <v>86</v>
      </c>
      <c r="F32" s="21">
        <v>3</v>
      </c>
      <c r="G32" s="21" t="s">
        <v>171</v>
      </c>
      <c r="H32" s="18"/>
      <c r="I32" s="17"/>
      <c r="J32" s="17"/>
      <c r="K32" s="17"/>
    </row>
    <row r="33" spans="1:11" x14ac:dyDescent="0.3">
      <c r="A33" s="17"/>
      <c r="B33" s="20">
        <v>1245682</v>
      </c>
      <c r="C33" s="21"/>
      <c r="D33" s="21"/>
      <c r="E33" s="22" t="s">
        <v>88</v>
      </c>
      <c r="F33" s="21">
        <v>1</v>
      </c>
      <c r="G33" s="21">
        <v>30.625</v>
      </c>
      <c r="H33" s="18"/>
      <c r="I33" s="17"/>
      <c r="J33" s="17"/>
      <c r="K33" s="17"/>
    </row>
    <row r="34" spans="1:11" x14ac:dyDescent="0.3">
      <c r="A34" s="17"/>
      <c r="B34" s="20">
        <v>1245682</v>
      </c>
      <c r="C34" s="21"/>
      <c r="D34" s="21"/>
      <c r="E34" s="22" t="s">
        <v>88</v>
      </c>
      <c r="F34" s="21">
        <v>1</v>
      </c>
      <c r="G34" s="21">
        <v>478.5</v>
      </c>
      <c r="H34" s="18"/>
      <c r="I34" s="17"/>
      <c r="J34" s="17"/>
      <c r="K34" s="17"/>
    </row>
    <row r="35" spans="1:11" x14ac:dyDescent="0.3">
      <c r="A35" s="17"/>
      <c r="B35" s="20">
        <v>1245683</v>
      </c>
      <c r="C35" s="21"/>
      <c r="D35" s="21"/>
      <c r="E35" s="22" t="s">
        <v>88</v>
      </c>
      <c r="F35" s="21">
        <v>1</v>
      </c>
      <c r="G35" s="21" t="s">
        <v>171</v>
      </c>
      <c r="H35" s="18"/>
      <c r="I35" s="17"/>
      <c r="J35" s="17"/>
      <c r="K35" s="17"/>
    </row>
    <row r="36" spans="1:11" x14ac:dyDescent="0.3">
      <c r="A36" s="17"/>
      <c r="B36" s="20">
        <v>1245665</v>
      </c>
      <c r="C36" s="21"/>
      <c r="D36" s="21"/>
      <c r="E36" s="22" t="s">
        <v>88</v>
      </c>
      <c r="F36" s="21">
        <v>2</v>
      </c>
      <c r="G36" s="21" t="s">
        <v>171</v>
      </c>
      <c r="H36" s="18"/>
      <c r="I36" s="17"/>
      <c r="J36" s="17"/>
      <c r="K36" s="17"/>
    </row>
    <row r="37" spans="1:11" x14ac:dyDescent="0.3">
      <c r="A37" s="17"/>
      <c r="B37" s="20">
        <v>1245666</v>
      </c>
      <c r="C37" s="21"/>
      <c r="D37" s="21"/>
      <c r="E37" s="22" t="s">
        <v>88</v>
      </c>
      <c r="F37" s="21">
        <v>2</v>
      </c>
      <c r="G37" s="21" t="s">
        <v>172</v>
      </c>
      <c r="H37" s="18"/>
      <c r="I37" s="17"/>
      <c r="J37" s="17"/>
      <c r="K37" s="17"/>
    </row>
    <row r="38" spans="1:11" x14ac:dyDescent="0.3">
      <c r="A38" s="17"/>
      <c r="B38" s="20">
        <v>1245667</v>
      </c>
      <c r="C38" s="21"/>
      <c r="D38" s="21"/>
      <c r="E38" s="22" t="s">
        <v>88</v>
      </c>
      <c r="F38" s="21">
        <v>2</v>
      </c>
      <c r="G38" s="21" t="s">
        <v>173</v>
      </c>
      <c r="H38" s="18"/>
      <c r="I38" s="17"/>
      <c r="J38" s="17"/>
      <c r="K38" s="17"/>
    </row>
    <row r="39" spans="1:11" x14ac:dyDescent="0.3">
      <c r="A39" s="17"/>
      <c r="B39" s="20">
        <v>1289504</v>
      </c>
      <c r="C39" s="21"/>
      <c r="D39" s="21"/>
      <c r="E39" s="22" t="s">
        <v>88</v>
      </c>
      <c r="F39" s="21">
        <v>4</v>
      </c>
      <c r="G39" s="21" t="s">
        <v>171</v>
      </c>
      <c r="H39" s="18"/>
      <c r="I39" s="17"/>
      <c r="J39" s="17"/>
      <c r="K39" s="17"/>
    </row>
    <row r="40" spans="1:11" x14ac:dyDescent="0.3">
      <c r="A40" s="17"/>
      <c r="B40" s="20">
        <v>1289505</v>
      </c>
      <c r="C40" s="21"/>
      <c r="D40" s="21"/>
      <c r="E40" s="22" t="s">
        <v>88</v>
      </c>
      <c r="F40" s="21">
        <v>4</v>
      </c>
      <c r="G40" s="21" t="s">
        <v>174</v>
      </c>
      <c r="H40" s="18"/>
      <c r="I40" s="17"/>
      <c r="J40" s="17"/>
      <c r="K40" s="17"/>
    </row>
    <row r="41" spans="1:11" x14ac:dyDescent="0.3">
      <c r="A41" s="17"/>
      <c r="B41" s="20">
        <v>1289506</v>
      </c>
      <c r="C41" s="21"/>
      <c r="D41" s="21"/>
      <c r="E41" s="22" t="s">
        <v>88</v>
      </c>
      <c r="F41" s="21">
        <v>1</v>
      </c>
      <c r="G41" s="21" t="s">
        <v>175</v>
      </c>
      <c r="H41" s="18"/>
      <c r="I41" s="17"/>
      <c r="J41" s="17"/>
      <c r="K41" s="17"/>
    </row>
  </sheetData>
  <dataConsolidate/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tabSelected="1" zoomScale="115" zoomScaleNormal="115" workbookViewId="0">
      <pane xSplit="1" ySplit="1" topLeftCell="B11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8.88671875" defaultRowHeight="10.199999999999999" x14ac:dyDescent="0.2"/>
  <cols>
    <col min="1" max="1" width="13" style="15" customWidth="1"/>
    <col min="2" max="2" width="10.6640625" style="15" bestFit="1" customWidth="1"/>
    <col min="3" max="3" width="9.6640625" style="15" bestFit="1" customWidth="1"/>
    <col min="4" max="4" width="6.44140625" style="15" bestFit="1" customWidth="1"/>
    <col min="5" max="5" width="4.44140625" style="15" bestFit="1" customWidth="1"/>
    <col min="6" max="6" width="47.88671875" style="15" bestFit="1" customWidth="1"/>
    <col min="7" max="7" width="10.5546875" style="15" bestFit="1" customWidth="1"/>
    <col min="8" max="8" width="54.6640625" style="15" bestFit="1" customWidth="1"/>
    <col min="9" max="16384" width="8.88671875" style="15"/>
  </cols>
  <sheetData>
    <row r="1" spans="1:6" x14ac:dyDescent="0.2">
      <c r="A1" s="15" t="s">
        <v>68</v>
      </c>
      <c r="B1" s="15" t="s">
        <v>69</v>
      </c>
      <c r="C1" s="15" t="s">
        <v>70</v>
      </c>
      <c r="D1" s="15" t="s">
        <v>71</v>
      </c>
      <c r="E1" s="15" t="s">
        <v>72</v>
      </c>
      <c r="F1" s="15" t="s">
        <v>73</v>
      </c>
    </row>
    <row r="2" spans="1:6" x14ac:dyDescent="0.2">
      <c r="A2" s="15" t="s">
        <v>60</v>
      </c>
      <c r="B2" s="15">
        <f>D2*12</f>
        <v>480</v>
      </c>
      <c r="C2" s="15" t="s">
        <v>16</v>
      </c>
      <c r="D2" s="15">
        <v>40</v>
      </c>
      <c r="E2" s="15" t="s">
        <v>18</v>
      </c>
      <c r="F2" s="15" t="s">
        <v>17</v>
      </c>
    </row>
    <row r="3" spans="1:6" x14ac:dyDescent="0.2">
      <c r="A3" s="15" t="s">
        <v>82</v>
      </c>
      <c r="B3" s="15">
        <f t="shared" ref="B3:B42" si="0">D3*12</f>
        <v>600</v>
      </c>
      <c r="C3" s="15" t="s">
        <v>19</v>
      </c>
      <c r="D3" s="15">
        <v>50</v>
      </c>
      <c r="E3" s="15" t="s">
        <v>18</v>
      </c>
      <c r="F3" s="15" t="s">
        <v>20</v>
      </c>
    </row>
    <row r="4" spans="1:6" x14ac:dyDescent="0.2">
      <c r="A4" s="15" t="s">
        <v>83</v>
      </c>
      <c r="B4" s="15">
        <f t="shared" si="0"/>
        <v>480</v>
      </c>
      <c r="C4" s="15" t="s">
        <v>21</v>
      </c>
      <c r="D4" s="15">
        <v>40</v>
      </c>
      <c r="E4" s="15" t="s">
        <v>18</v>
      </c>
      <c r="F4" s="15" t="s">
        <v>22</v>
      </c>
    </row>
    <row r="5" spans="1:6" x14ac:dyDescent="0.2">
      <c r="A5" s="15" t="s">
        <v>81</v>
      </c>
      <c r="B5" s="15">
        <v>764</v>
      </c>
      <c r="C5" s="15" t="s">
        <v>111</v>
      </c>
      <c r="D5" s="15">
        <v>50</v>
      </c>
      <c r="E5" s="15" t="s">
        <v>18</v>
      </c>
      <c r="F5" s="15" t="s">
        <v>24</v>
      </c>
    </row>
    <row r="6" spans="1:6" x14ac:dyDescent="0.2">
      <c r="A6" s="15" t="s">
        <v>81</v>
      </c>
      <c r="B6" s="15">
        <v>728</v>
      </c>
      <c r="C6" s="15" t="s">
        <v>112</v>
      </c>
      <c r="D6" s="15">
        <v>50</v>
      </c>
      <c r="E6" s="15" t="s">
        <v>18</v>
      </c>
      <c r="F6" s="15" t="s">
        <v>24</v>
      </c>
    </row>
    <row r="7" spans="1:6" x14ac:dyDescent="0.2">
      <c r="A7" s="15" t="s">
        <v>81</v>
      </c>
      <c r="B7" s="15">
        <v>688</v>
      </c>
      <c r="C7" s="15" t="s">
        <v>113</v>
      </c>
      <c r="D7" s="15">
        <v>50</v>
      </c>
      <c r="E7" s="15" t="s">
        <v>18</v>
      </c>
      <c r="F7" s="15" t="s">
        <v>24</v>
      </c>
    </row>
    <row r="8" spans="1:6" x14ac:dyDescent="0.2">
      <c r="A8" s="15" t="s">
        <v>81</v>
      </c>
      <c r="B8" s="15">
        <v>600</v>
      </c>
      <c r="C8" s="15" t="s">
        <v>23</v>
      </c>
      <c r="D8" s="15">
        <v>50</v>
      </c>
      <c r="E8" s="15" t="s">
        <v>18</v>
      </c>
      <c r="F8" s="15" t="s">
        <v>24</v>
      </c>
    </row>
    <row r="9" spans="1:6" x14ac:dyDescent="0.2">
      <c r="A9" s="15" t="s">
        <v>81</v>
      </c>
      <c r="B9" s="15">
        <v>604</v>
      </c>
      <c r="C9" s="15" t="s">
        <v>114</v>
      </c>
      <c r="D9" s="15">
        <v>50</v>
      </c>
      <c r="E9" s="15" t="s">
        <v>18</v>
      </c>
      <c r="F9" s="15" t="s">
        <v>24</v>
      </c>
    </row>
    <row r="10" spans="1:6" x14ac:dyDescent="0.2">
      <c r="A10" s="15" t="s">
        <v>81</v>
      </c>
      <c r="B10" s="15">
        <v>340</v>
      </c>
      <c r="C10" s="15" t="s">
        <v>115</v>
      </c>
      <c r="D10" s="15">
        <v>50</v>
      </c>
      <c r="E10" s="15" t="s">
        <v>18</v>
      </c>
      <c r="F10" s="15" t="s">
        <v>24</v>
      </c>
    </row>
    <row r="11" spans="1:6" x14ac:dyDescent="0.2">
      <c r="A11" s="15" t="s">
        <v>81</v>
      </c>
      <c r="B11" s="15">
        <v>332</v>
      </c>
      <c r="C11" s="15" t="s">
        <v>116</v>
      </c>
      <c r="D11" s="15">
        <v>50</v>
      </c>
      <c r="E11" s="15" t="s">
        <v>18</v>
      </c>
      <c r="F11" s="15" t="s">
        <v>24</v>
      </c>
    </row>
    <row r="12" spans="1:6" x14ac:dyDescent="0.2">
      <c r="A12" s="15" t="s">
        <v>81</v>
      </c>
      <c r="B12" s="15">
        <v>308</v>
      </c>
      <c r="C12" s="15" t="s">
        <v>117</v>
      </c>
      <c r="D12" s="15">
        <v>50</v>
      </c>
      <c r="E12" s="15" t="s">
        <v>18</v>
      </c>
      <c r="F12" s="15" t="s">
        <v>24</v>
      </c>
    </row>
    <row r="13" spans="1:6" x14ac:dyDescent="0.2">
      <c r="A13" s="15" t="s">
        <v>80</v>
      </c>
      <c r="B13" s="15">
        <f t="shared" si="0"/>
        <v>720</v>
      </c>
      <c r="C13" s="15" t="s">
        <v>14</v>
      </c>
      <c r="D13" s="15">
        <v>60</v>
      </c>
      <c r="E13" s="15" t="s">
        <v>18</v>
      </c>
      <c r="F13" s="15" t="s">
        <v>25</v>
      </c>
    </row>
    <row r="14" spans="1:6" x14ac:dyDescent="0.2">
      <c r="A14" s="15" t="s">
        <v>80</v>
      </c>
      <c r="B14" s="15">
        <v>700</v>
      </c>
      <c r="C14" s="15" t="s">
        <v>118</v>
      </c>
      <c r="D14" s="15">
        <v>60</v>
      </c>
      <c r="E14" s="15" t="s">
        <v>18</v>
      </c>
      <c r="F14" s="15" t="s">
        <v>25</v>
      </c>
    </row>
    <row r="15" spans="1:6" x14ac:dyDescent="0.2">
      <c r="A15" s="15" t="s">
        <v>61</v>
      </c>
      <c r="B15" s="15">
        <v>804</v>
      </c>
      <c r="C15" s="15" t="s">
        <v>119</v>
      </c>
      <c r="D15" s="15">
        <v>60</v>
      </c>
      <c r="E15" s="15" t="s">
        <v>18</v>
      </c>
      <c r="F15" s="15" t="s">
        <v>27</v>
      </c>
    </row>
    <row r="16" spans="1:6" x14ac:dyDescent="0.2">
      <c r="A16" s="15" t="s">
        <v>61</v>
      </c>
      <c r="B16" s="15">
        <v>756</v>
      </c>
      <c r="C16" s="15" t="s">
        <v>120</v>
      </c>
      <c r="D16" s="15">
        <v>60</v>
      </c>
      <c r="E16" s="15" t="s">
        <v>18</v>
      </c>
      <c r="F16" s="15" t="s">
        <v>27</v>
      </c>
    </row>
    <row r="17" spans="1:6" x14ac:dyDescent="0.2">
      <c r="A17" s="15" t="s">
        <v>61</v>
      </c>
      <c r="B17" s="15">
        <v>732</v>
      </c>
      <c r="C17" s="15" t="s">
        <v>121</v>
      </c>
      <c r="D17" s="15">
        <v>60</v>
      </c>
      <c r="E17" s="15" t="s">
        <v>18</v>
      </c>
      <c r="F17" s="15" t="s">
        <v>27</v>
      </c>
    </row>
    <row r="18" spans="1:6" x14ac:dyDescent="0.2">
      <c r="A18" s="15" t="s">
        <v>61</v>
      </c>
      <c r="B18" s="15">
        <v>720</v>
      </c>
      <c r="C18" s="15" t="s">
        <v>26</v>
      </c>
      <c r="D18" s="15">
        <v>60</v>
      </c>
      <c r="E18" s="15" t="s">
        <v>18</v>
      </c>
      <c r="F18" s="15" t="s">
        <v>27</v>
      </c>
    </row>
    <row r="19" spans="1:6" x14ac:dyDescent="0.2">
      <c r="A19" s="15" t="s">
        <v>61</v>
      </c>
      <c r="B19" s="15">
        <v>692</v>
      </c>
      <c r="C19" s="15" t="s">
        <v>122</v>
      </c>
      <c r="D19" s="15">
        <v>60</v>
      </c>
      <c r="E19" s="15" t="s">
        <v>18</v>
      </c>
      <c r="F19" s="15" t="s">
        <v>27</v>
      </c>
    </row>
    <row r="20" spans="1:6" x14ac:dyDescent="0.2">
      <c r="A20" s="15" t="s">
        <v>61</v>
      </c>
      <c r="B20" s="15">
        <v>672</v>
      </c>
      <c r="C20" s="15" t="s">
        <v>123</v>
      </c>
      <c r="D20" s="15">
        <v>60</v>
      </c>
      <c r="E20" s="15" t="s">
        <v>18</v>
      </c>
      <c r="F20" s="15" t="s">
        <v>27</v>
      </c>
    </row>
    <row r="21" spans="1:6" x14ac:dyDescent="0.2">
      <c r="A21" s="15" t="s">
        <v>61</v>
      </c>
      <c r="B21" s="15">
        <v>580</v>
      </c>
      <c r="C21" s="15" t="s">
        <v>124</v>
      </c>
      <c r="D21" s="15">
        <v>60</v>
      </c>
      <c r="E21" s="15" t="s">
        <v>18</v>
      </c>
      <c r="F21" s="15" t="s">
        <v>27</v>
      </c>
    </row>
    <row r="22" spans="1:6" x14ac:dyDescent="0.2">
      <c r="A22" s="15" t="s">
        <v>61</v>
      </c>
      <c r="B22" s="15">
        <v>568</v>
      </c>
      <c r="C22" s="15" t="s">
        <v>125</v>
      </c>
      <c r="D22" s="15">
        <v>60</v>
      </c>
      <c r="E22" s="15" t="s">
        <v>18</v>
      </c>
      <c r="F22" s="15" t="s">
        <v>27</v>
      </c>
    </row>
    <row r="23" spans="1:6" x14ac:dyDescent="0.2">
      <c r="A23" s="15" t="s">
        <v>61</v>
      </c>
      <c r="B23" s="15">
        <v>460</v>
      </c>
      <c r="C23" s="15" t="s">
        <v>126</v>
      </c>
      <c r="D23" s="15">
        <v>60</v>
      </c>
      <c r="E23" s="15" t="s">
        <v>18</v>
      </c>
      <c r="F23" s="15" t="s">
        <v>27</v>
      </c>
    </row>
    <row r="24" spans="1:6" x14ac:dyDescent="0.2">
      <c r="A24" s="15" t="s">
        <v>61</v>
      </c>
      <c r="B24" s="15">
        <v>440</v>
      </c>
      <c r="C24" s="15" t="s">
        <v>127</v>
      </c>
      <c r="D24" s="15">
        <v>60</v>
      </c>
      <c r="E24" s="15" t="s">
        <v>18</v>
      </c>
      <c r="F24" s="15" t="s">
        <v>27</v>
      </c>
    </row>
    <row r="25" spans="1:6" x14ac:dyDescent="0.2">
      <c r="A25" s="15" t="s">
        <v>61</v>
      </c>
      <c r="B25" s="15">
        <v>424</v>
      </c>
      <c r="C25" s="15" t="s">
        <v>128</v>
      </c>
      <c r="D25" s="15">
        <v>60</v>
      </c>
      <c r="E25" s="15" t="s">
        <v>18</v>
      </c>
      <c r="F25" s="15" t="s">
        <v>27</v>
      </c>
    </row>
    <row r="26" spans="1:6" x14ac:dyDescent="0.2">
      <c r="A26" s="15" t="s">
        <v>62</v>
      </c>
      <c r="B26" s="15">
        <f t="shared" si="0"/>
        <v>480</v>
      </c>
      <c r="C26" s="15" t="s">
        <v>28</v>
      </c>
      <c r="D26" s="15">
        <v>40</v>
      </c>
      <c r="E26" s="15" t="s">
        <v>18</v>
      </c>
      <c r="F26" s="15" t="s">
        <v>29</v>
      </c>
    </row>
    <row r="27" spans="1:6" x14ac:dyDescent="0.2">
      <c r="A27" s="15" t="s">
        <v>84</v>
      </c>
      <c r="B27" s="15">
        <f t="shared" si="0"/>
        <v>480</v>
      </c>
      <c r="C27" s="15" t="s">
        <v>30</v>
      </c>
      <c r="D27" s="15">
        <v>40</v>
      </c>
      <c r="E27" s="15" t="s">
        <v>18</v>
      </c>
      <c r="F27" s="15" t="s">
        <v>31</v>
      </c>
    </row>
    <row r="28" spans="1:6" x14ac:dyDescent="0.2">
      <c r="A28" s="15" t="s">
        <v>63</v>
      </c>
      <c r="B28" s="15">
        <f t="shared" si="0"/>
        <v>480</v>
      </c>
      <c r="C28" s="15" t="s">
        <v>32</v>
      </c>
      <c r="D28" s="15">
        <v>40</v>
      </c>
      <c r="E28" s="15" t="s">
        <v>18</v>
      </c>
      <c r="F28" s="15" t="s">
        <v>33</v>
      </c>
    </row>
    <row r="29" spans="1:6" x14ac:dyDescent="0.2">
      <c r="A29" s="15" t="s">
        <v>64</v>
      </c>
      <c r="B29" s="15">
        <f t="shared" si="0"/>
        <v>600</v>
      </c>
      <c r="C29" s="15" t="s">
        <v>15</v>
      </c>
      <c r="D29" s="15">
        <v>50</v>
      </c>
      <c r="E29" s="15" t="s">
        <v>18</v>
      </c>
      <c r="F29" s="15" t="s">
        <v>34</v>
      </c>
    </row>
    <row r="30" spans="1:6" x14ac:dyDescent="0.2">
      <c r="A30" s="15" t="s">
        <v>79</v>
      </c>
      <c r="B30" s="15">
        <f t="shared" si="0"/>
        <v>480</v>
      </c>
      <c r="C30" s="15" t="s">
        <v>35</v>
      </c>
      <c r="D30" s="15">
        <v>40</v>
      </c>
      <c r="E30" s="15" t="s">
        <v>18</v>
      </c>
      <c r="F30" s="15" t="s">
        <v>36</v>
      </c>
    </row>
    <row r="31" spans="1:6" x14ac:dyDescent="0.2">
      <c r="A31" s="15" t="s">
        <v>65</v>
      </c>
      <c r="B31" s="15">
        <f t="shared" si="0"/>
        <v>480</v>
      </c>
      <c r="C31" s="15" t="s">
        <v>37</v>
      </c>
      <c r="D31" s="15">
        <v>40</v>
      </c>
      <c r="E31" s="15" t="s">
        <v>18</v>
      </c>
      <c r="F31" s="15" t="s">
        <v>38</v>
      </c>
    </row>
    <row r="32" spans="1:6" x14ac:dyDescent="0.2">
      <c r="A32" s="15" t="s">
        <v>66</v>
      </c>
      <c r="B32" s="15">
        <f t="shared" si="0"/>
        <v>480</v>
      </c>
      <c r="C32" s="15" t="s">
        <v>39</v>
      </c>
      <c r="D32" s="15">
        <v>40</v>
      </c>
      <c r="E32" s="15" t="s">
        <v>18</v>
      </c>
      <c r="F32" s="15" t="s">
        <v>40</v>
      </c>
    </row>
    <row r="33" spans="1:6" x14ac:dyDescent="0.2">
      <c r="A33" s="15" t="s">
        <v>85</v>
      </c>
      <c r="B33" s="15">
        <f t="shared" si="0"/>
        <v>720</v>
      </c>
      <c r="C33" s="15" t="s">
        <v>41</v>
      </c>
      <c r="D33" s="15">
        <v>60</v>
      </c>
      <c r="E33" s="15" t="s">
        <v>18</v>
      </c>
      <c r="F33" s="15" t="s">
        <v>42</v>
      </c>
    </row>
    <row r="34" spans="1:6" x14ac:dyDescent="0.2">
      <c r="A34" s="15" t="s">
        <v>67</v>
      </c>
      <c r="B34" s="15">
        <f t="shared" si="0"/>
        <v>720</v>
      </c>
      <c r="C34" s="15" t="s">
        <v>43</v>
      </c>
      <c r="D34" s="15">
        <v>60</v>
      </c>
      <c r="E34" s="15" t="s">
        <v>18</v>
      </c>
      <c r="F34" s="15" t="s">
        <v>44</v>
      </c>
    </row>
    <row r="35" spans="1:6" x14ac:dyDescent="0.2">
      <c r="A35" s="15" t="s">
        <v>78</v>
      </c>
      <c r="B35" s="15">
        <f t="shared" si="0"/>
        <v>240</v>
      </c>
      <c r="C35" s="15" t="s">
        <v>45</v>
      </c>
      <c r="D35" s="15">
        <v>20</v>
      </c>
      <c r="E35" s="15" t="s">
        <v>18</v>
      </c>
      <c r="F35" s="15" t="s">
        <v>46</v>
      </c>
    </row>
    <row r="36" spans="1:6" x14ac:dyDescent="0.2">
      <c r="A36" s="15" t="s">
        <v>77</v>
      </c>
      <c r="B36" s="15">
        <f t="shared" si="0"/>
        <v>240</v>
      </c>
      <c r="C36" s="15" t="s">
        <v>47</v>
      </c>
      <c r="D36" s="15">
        <v>20</v>
      </c>
      <c r="E36" s="15" t="s">
        <v>18</v>
      </c>
      <c r="F36" s="15" t="s">
        <v>48</v>
      </c>
    </row>
    <row r="37" spans="1:6" x14ac:dyDescent="0.2">
      <c r="A37" s="15" t="s">
        <v>91</v>
      </c>
      <c r="B37" s="15">
        <f t="shared" si="0"/>
        <v>576</v>
      </c>
      <c r="C37" s="15" t="s">
        <v>49</v>
      </c>
      <c r="D37" s="15">
        <v>48</v>
      </c>
      <c r="E37" s="15" t="s">
        <v>18</v>
      </c>
      <c r="F37" s="15" t="s">
        <v>50</v>
      </c>
    </row>
    <row r="38" spans="1:6" x14ac:dyDescent="0.2">
      <c r="A38" s="15" t="s">
        <v>86</v>
      </c>
      <c r="B38" s="15">
        <f t="shared" si="0"/>
        <v>480</v>
      </c>
      <c r="C38" s="15" t="s">
        <v>51</v>
      </c>
      <c r="D38" s="15">
        <v>40</v>
      </c>
      <c r="E38" s="15" t="s">
        <v>18</v>
      </c>
      <c r="F38" s="15" t="s">
        <v>52</v>
      </c>
    </row>
    <row r="39" spans="1:6" x14ac:dyDescent="0.2">
      <c r="A39" s="15" t="s">
        <v>88</v>
      </c>
      <c r="B39" s="15">
        <f t="shared" si="0"/>
        <v>480</v>
      </c>
      <c r="C39" s="15" t="s">
        <v>53</v>
      </c>
      <c r="D39" s="15">
        <v>40</v>
      </c>
      <c r="E39" s="15" t="s">
        <v>18</v>
      </c>
      <c r="F39" s="15" t="s">
        <v>54</v>
      </c>
    </row>
    <row r="40" spans="1:6" x14ac:dyDescent="0.2">
      <c r="A40" s="15" t="s">
        <v>87</v>
      </c>
      <c r="B40" s="15">
        <f t="shared" si="0"/>
        <v>576</v>
      </c>
      <c r="C40" s="15" t="s">
        <v>55</v>
      </c>
      <c r="D40" s="15">
        <v>48</v>
      </c>
      <c r="E40" s="15" t="s">
        <v>18</v>
      </c>
      <c r="F40" s="15" t="s">
        <v>56</v>
      </c>
    </row>
    <row r="41" spans="1:6" x14ac:dyDescent="0.2">
      <c r="A41" s="15" t="s">
        <v>89</v>
      </c>
      <c r="B41" s="15">
        <f t="shared" si="0"/>
        <v>240</v>
      </c>
      <c r="C41" s="15" t="s">
        <v>57</v>
      </c>
      <c r="D41" s="15">
        <v>20</v>
      </c>
      <c r="E41" s="15" t="s">
        <v>18</v>
      </c>
      <c r="F41" s="15" t="s">
        <v>92</v>
      </c>
    </row>
    <row r="42" spans="1:6" x14ac:dyDescent="0.2">
      <c r="A42" s="15" t="s">
        <v>90</v>
      </c>
      <c r="B42" s="15">
        <f t="shared" si="0"/>
        <v>480</v>
      </c>
      <c r="C42" s="15" t="s">
        <v>58</v>
      </c>
      <c r="D42" s="15">
        <v>40</v>
      </c>
      <c r="E42" s="15" t="s">
        <v>18</v>
      </c>
      <c r="F42" s="15" t="s">
        <v>59</v>
      </c>
    </row>
    <row r="43" spans="1:6" x14ac:dyDescent="0.2">
      <c r="A43" s="15" t="s">
        <v>99</v>
      </c>
      <c r="B43" s="15">
        <f>D43*12</f>
        <v>240</v>
      </c>
      <c r="C43" s="15" t="s">
        <v>93</v>
      </c>
      <c r="D43" s="15">
        <v>20</v>
      </c>
      <c r="E43" s="15" t="s">
        <v>18</v>
      </c>
      <c r="F43" s="15" t="s">
        <v>94</v>
      </c>
    </row>
    <row r="44" spans="1:6" x14ac:dyDescent="0.2">
      <c r="A44" s="15" t="s">
        <v>100</v>
      </c>
      <c r="B44" s="15">
        <f t="shared" ref="B44:B46" si="1">D44*12</f>
        <v>240</v>
      </c>
      <c r="C44" s="15" t="s">
        <v>95</v>
      </c>
      <c r="D44" s="15">
        <v>20</v>
      </c>
      <c r="E44" s="15" t="s">
        <v>18</v>
      </c>
      <c r="F44" s="15" t="s">
        <v>96</v>
      </c>
    </row>
    <row r="45" spans="1:6" x14ac:dyDescent="0.2">
      <c r="A45" s="15" t="s">
        <v>101</v>
      </c>
      <c r="B45" s="15">
        <f t="shared" si="1"/>
        <v>240</v>
      </c>
      <c r="C45" s="15" t="s">
        <v>97</v>
      </c>
      <c r="D45" s="15">
        <v>20</v>
      </c>
      <c r="E45" s="15" t="s">
        <v>18</v>
      </c>
      <c r="F45" s="15" t="s">
        <v>98</v>
      </c>
    </row>
    <row r="46" spans="1:6" x14ac:dyDescent="0.2">
      <c r="A46" s="15" t="s">
        <v>103</v>
      </c>
      <c r="B46" s="15">
        <f t="shared" si="1"/>
        <v>240</v>
      </c>
      <c r="C46" s="15" t="s">
        <v>102</v>
      </c>
      <c r="D46" s="15">
        <v>20</v>
      </c>
      <c r="E46" s="15" t="s">
        <v>18</v>
      </c>
      <c r="F46" s="15" t="s">
        <v>104</v>
      </c>
    </row>
    <row r="47" spans="1:6" x14ac:dyDescent="0.2">
      <c r="A47" s="15" t="s">
        <v>105</v>
      </c>
      <c r="B47" s="15">
        <v>480</v>
      </c>
      <c r="C47" s="15" t="s">
        <v>106</v>
      </c>
      <c r="D47" s="15">
        <v>40</v>
      </c>
      <c r="E47" s="15" t="s">
        <v>18</v>
      </c>
      <c r="F47" s="15" t="s">
        <v>109</v>
      </c>
    </row>
    <row r="48" spans="1:6" x14ac:dyDescent="0.2">
      <c r="A48" s="15" t="s">
        <v>107</v>
      </c>
      <c r="B48" s="15">
        <v>480</v>
      </c>
      <c r="C48" s="15" t="s">
        <v>108</v>
      </c>
      <c r="D48" s="15">
        <v>40</v>
      </c>
      <c r="E48" s="15" t="s">
        <v>18</v>
      </c>
      <c r="F48" s="15" t="s">
        <v>110</v>
      </c>
    </row>
  </sheetData>
  <dataConsolidate/>
  <phoneticPr fontId="5" type="noConversion"/>
  <conditionalFormatting sqref="C55:C60">
    <cfRule type="duplicateValues" dxfId="4" priority="4"/>
  </conditionalFormatting>
  <conditionalFormatting sqref="C88:C89 C47:C54 C100:C1048576">
    <cfRule type="duplicateValues" dxfId="3" priority="9"/>
  </conditionalFormatting>
  <conditionalFormatting sqref="C40:C45 C1:C36">
    <cfRule type="duplicateValues" dxfId="2" priority="3"/>
  </conditionalFormatting>
  <conditionalFormatting sqref="C37">
    <cfRule type="duplicateValues" dxfId="1" priority="2"/>
  </conditionalFormatting>
  <conditionalFormatting sqref="C38:C39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B9C62-17D5-4413-9149-67105F665DF7}">
  <sheetPr codeName="Sheet9"/>
  <dimension ref="A1:F11"/>
  <sheetViews>
    <sheetView workbookViewId="0"/>
  </sheetViews>
  <sheetFormatPr defaultRowHeight="14.4" x14ac:dyDescent="0.3"/>
  <cols>
    <col min="1" max="1" width="16.6640625" customWidth="1"/>
    <col min="2" max="2" width="21.21875" customWidth="1"/>
    <col min="4" max="4" width="23.88671875" customWidth="1"/>
    <col min="5" max="5" width="19.44140625" customWidth="1"/>
    <col min="6" max="6" width="16" customWidth="1"/>
  </cols>
  <sheetData>
    <row r="1" spans="1:6" x14ac:dyDescent="0.3">
      <c r="A1" t="s">
        <v>132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</row>
    <row r="2" spans="1:6" x14ac:dyDescent="0.3">
      <c r="A2" t="s">
        <v>80</v>
      </c>
      <c r="B2" t="s">
        <v>118</v>
      </c>
      <c r="C2">
        <v>3</v>
      </c>
      <c r="D2">
        <v>700</v>
      </c>
      <c r="E2">
        <v>58.33</v>
      </c>
      <c r="F2">
        <v>174.99</v>
      </c>
    </row>
    <row r="3" spans="1:6" x14ac:dyDescent="0.3">
      <c r="A3" t="s">
        <v>61</v>
      </c>
      <c r="B3" t="s">
        <v>119</v>
      </c>
      <c r="C3">
        <v>2</v>
      </c>
      <c r="D3">
        <v>804</v>
      </c>
      <c r="E3">
        <v>67</v>
      </c>
      <c r="F3">
        <v>134</v>
      </c>
    </row>
    <row r="4" spans="1:6" x14ac:dyDescent="0.3">
      <c r="A4" t="s">
        <v>81</v>
      </c>
      <c r="B4" t="s">
        <v>116</v>
      </c>
      <c r="C4">
        <v>1</v>
      </c>
      <c r="D4">
        <v>332</v>
      </c>
      <c r="E4">
        <v>27.67</v>
      </c>
      <c r="F4">
        <v>27.67</v>
      </c>
    </row>
    <row r="5" spans="1:6" x14ac:dyDescent="0.3">
      <c r="A5" t="s">
        <v>81</v>
      </c>
      <c r="B5" t="s">
        <v>114</v>
      </c>
      <c r="C5">
        <v>3</v>
      </c>
      <c r="D5">
        <v>604</v>
      </c>
      <c r="E5">
        <v>50.33</v>
      </c>
      <c r="F5">
        <v>150.99</v>
      </c>
    </row>
    <row r="6" spans="1:6" x14ac:dyDescent="0.3">
      <c r="A6" t="s">
        <v>81</v>
      </c>
      <c r="B6" t="s">
        <v>113</v>
      </c>
      <c r="C6">
        <v>1</v>
      </c>
      <c r="D6">
        <v>688</v>
      </c>
      <c r="E6">
        <v>57.33</v>
      </c>
      <c r="F6">
        <v>57.33</v>
      </c>
    </row>
    <row r="7" spans="1:6" x14ac:dyDescent="0.3">
      <c r="A7" t="s">
        <v>81</v>
      </c>
      <c r="B7" t="s">
        <v>112</v>
      </c>
      <c r="C7">
        <v>2</v>
      </c>
      <c r="D7">
        <v>728</v>
      </c>
      <c r="E7">
        <v>60.67</v>
      </c>
      <c r="F7">
        <v>121.34</v>
      </c>
    </row>
    <row r="8" spans="1:6" x14ac:dyDescent="0.3">
      <c r="A8" t="s">
        <v>81</v>
      </c>
      <c r="B8" t="s">
        <v>111</v>
      </c>
      <c r="C8">
        <v>1</v>
      </c>
      <c r="D8">
        <v>764</v>
      </c>
      <c r="E8">
        <v>63.67</v>
      </c>
      <c r="F8">
        <v>63.67</v>
      </c>
    </row>
    <row r="9" spans="1:6" x14ac:dyDescent="0.3">
      <c r="A9" t="s">
        <v>90</v>
      </c>
      <c r="B9" t="s">
        <v>58</v>
      </c>
      <c r="C9">
        <v>1</v>
      </c>
      <c r="D9">
        <v>480</v>
      </c>
      <c r="E9">
        <v>40</v>
      </c>
      <c r="F9">
        <v>40</v>
      </c>
    </row>
    <row r="10" spans="1:6" x14ac:dyDescent="0.3">
      <c r="A10" t="s">
        <v>86</v>
      </c>
      <c r="B10" t="s">
        <v>51</v>
      </c>
      <c r="C10">
        <v>2</v>
      </c>
      <c r="D10">
        <v>480</v>
      </c>
      <c r="E10">
        <v>40</v>
      </c>
      <c r="F10">
        <v>80</v>
      </c>
    </row>
    <row r="11" spans="1:6" x14ac:dyDescent="0.3">
      <c r="A11" t="s">
        <v>88</v>
      </c>
      <c r="B11" t="s">
        <v>53</v>
      </c>
      <c r="C11">
        <v>8</v>
      </c>
      <c r="D11">
        <v>480</v>
      </c>
      <c r="E11">
        <v>40</v>
      </c>
      <c r="F11">
        <v>320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E9D11-BBDD-4FFC-86E1-EE0545AE1837}">
  <sheetPr codeName="Sheet8"/>
  <dimension ref="A1:N28"/>
  <sheetViews>
    <sheetView workbookViewId="0">
      <selection activeCell="E5" sqref="E5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4" width="13" customWidth="1"/>
    <col min="5" max="8" width="13.33203125" bestFit="1" customWidth="1"/>
    <col min="9" max="10" width="13" customWidth="1"/>
    <col min="11" max="11" width="16.6640625" customWidth="1"/>
    <col min="12" max="12" width="12.77734375" customWidth="1"/>
    <col min="13" max="13" width="17.44140625" customWidth="1"/>
    <col min="14" max="14" width="33.88671875" customWidth="1"/>
  </cols>
  <sheetData>
    <row r="1" spans="1:14" x14ac:dyDescent="0.3">
      <c r="A1" t="s">
        <v>132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176</v>
      </c>
      <c r="J1" t="s">
        <v>177</v>
      </c>
      <c r="K1" t="s">
        <v>140</v>
      </c>
      <c r="L1" t="s">
        <v>141</v>
      </c>
      <c r="M1" t="s">
        <v>142</v>
      </c>
      <c r="N1" t="s">
        <v>143</v>
      </c>
    </row>
    <row r="2" spans="1:14" x14ac:dyDescent="0.3">
      <c r="A2" t="s">
        <v>80</v>
      </c>
      <c r="B2" t="s">
        <v>118</v>
      </c>
      <c r="C2">
        <v>700</v>
      </c>
      <c r="D2">
        <v>199.5</v>
      </c>
      <c r="E2">
        <v>199.5</v>
      </c>
      <c r="F2">
        <v>199.5</v>
      </c>
      <c r="K2">
        <v>598.5</v>
      </c>
      <c r="L2">
        <v>101.5</v>
      </c>
      <c r="M2">
        <v>1.875</v>
      </c>
      <c r="N2">
        <v>99.625</v>
      </c>
    </row>
    <row r="3" spans="1:14" x14ac:dyDescent="0.3">
      <c r="A3" t="s">
        <v>80</v>
      </c>
      <c r="B3" t="s">
        <v>118</v>
      </c>
      <c r="C3">
        <v>700</v>
      </c>
      <c r="D3">
        <v>199.5</v>
      </c>
      <c r="E3">
        <v>199.5</v>
      </c>
      <c r="F3">
        <v>199.5</v>
      </c>
      <c r="K3">
        <v>598.5</v>
      </c>
      <c r="L3">
        <v>101.5</v>
      </c>
      <c r="M3">
        <v>1.875</v>
      </c>
      <c r="N3">
        <v>99.625</v>
      </c>
    </row>
    <row r="4" spans="1:14" x14ac:dyDescent="0.3">
      <c r="A4" t="s">
        <v>80</v>
      </c>
      <c r="B4" t="s">
        <v>118</v>
      </c>
      <c r="C4">
        <v>700</v>
      </c>
      <c r="D4">
        <v>199.5</v>
      </c>
      <c r="E4">
        <v>199.5</v>
      </c>
      <c r="F4">
        <v>199.5</v>
      </c>
      <c r="K4">
        <v>598.5</v>
      </c>
      <c r="L4">
        <v>101.5</v>
      </c>
      <c r="M4">
        <v>1.875</v>
      </c>
      <c r="N4">
        <v>99.625</v>
      </c>
    </row>
    <row r="5" spans="1:14" x14ac:dyDescent="0.3">
      <c r="A5" t="s">
        <v>61</v>
      </c>
      <c r="B5" t="s">
        <v>119</v>
      </c>
      <c r="C5">
        <v>804</v>
      </c>
      <c r="D5">
        <v>767.5</v>
      </c>
      <c r="K5">
        <v>767.5</v>
      </c>
      <c r="L5">
        <v>36.5</v>
      </c>
      <c r="M5">
        <v>1.5</v>
      </c>
      <c r="N5">
        <v>35</v>
      </c>
    </row>
    <row r="6" spans="1:14" x14ac:dyDescent="0.3">
      <c r="A6" t="s">
        <v>61</v>
      </c>
      <c r="B6" t="s">
        <v>119</v>
      </c>
      <c r="C6">
        <v>804</v>
      </c>
      <c r="D6">
        <v>767.5</v>
      </c>
      <c r="K6">
        <v>767.5</v>
      </c>
      <c r="L6">
        <v>36.5</v>
      </c>
      <c r="M6">
        <v>1.5</v>
      </c>
      <c r="N6">
        <v>35</v>
      </c>
    </row>
    <row r="7" spans="1:14" x14ac:dyDescent="0.3">
      <c r="A7" t="s">
        <v>81</v>
      </c>
      <c r="B7" t="s">
        <v>116</v>
      </c>
      <c r="C7">
        <v>332</v>
      </c>
      <c r="D7">
        <v>20.875</v>
      </c>
      <c r="E7">
        <v>25.75</v>
      </c>
      <c r="F7">
        <v>25.75</v>
      </c>
      <c r="G7">
        <v>102.75</v>
      </c>
      <c r="H7">
        <v>154.375</v>
      </c>
      <c r="K7">
        <v>329.5</v>
      </c>
      <c r="L7">
        <v>2.5</v>
      </c>
      <c r="M7">
        <v>2.25</v>
      </c>
      <c r="N7">
        <v>0.25</v>
      </c>
    </row>
    <row r="8" spans="1:14" x14ac:dyDescent="0.3">
      <c r="A8" t="s">
        <v>81</v>
      </c>
      <c r="B8" t="s">
        <v>114</v>
      </c>
      <c r="C8">
        <v>604</v>
      </c>
      <c r="D8">
        <v>39</v>
      </c>
      <c r="E8">
        <v>47.125</v>
      </c>
      <c r="F8">
        <v>167.875</v>
      </c>
      <c r="G8">
        <v>173.75</v>
      </c>
      <c r="H8">
        <v>173.75</v>
      </c>
      <c r="K8">
        <v>601.5</v>
      </c>
      <c r="L8">
        <v>2.5</v>
      </c>
      <c r="M8">
        <v>2.25</v>
      </c>
      <c r="N8">
        <v>0.25</v>
      </c>
    </row>
    <row r="9" spans="1:14" x14ac:dyDescent="0.3">
      <c r="A9" t="s">
        <v>81</v>
      </c>
      <c r="B9" t="s">
        <v>114</v>
      </c>
      <c r="C9">
        <v>604</v>
      </c>
      <c r="D9">
        <v>20.875</v>
      </c>
      <c r="E9">
        <v>180.25</v>
      </c>
      <c r="F9">
        <v>199.5</v>
      </c>
      <c r="G9">
        <v>199.5</v>
      </c>
      <c r="K9">
        <v>600.125</v>
      </c>
      <c r="L9">
        <v>3.875</v>
      </c>
      <c r="M9">
        <v>2.0625</v>
      </c>
      <c r="N9">
        <v>1.8125</v>
      </c>
    </row>
    <row r="10" spans="1:14" x14ac:dyDescent="0.3">
      <c r="A10" t="s">
        <v>81</v>
      </c>
      <c r="B10" t="s">
        <v>114</v>
      </c>
      <c r="C10">
        <v>604</v>
      </c>
      <c r="D10">
        <v>199.5</v>
      </c>
      <c r="E10">
        <v>199.5</v>
      </c>
      <c r="F10">
        <v>199.5</v>
      </c>
      <c r="K10">
        <v>598.5</v>
      </c>
      <c r="L10">
        <v>5.5</v>
      </c>
      <c r="M10">
        <v>1.875</v>
      </c>
      <c r="N10">
        <v>3.625</v>
      </c>
    </row>
    <row r="11" spans="1:14" x14ac:dyDescent="0.3">
      <c r="A11" t="s">
        <v>81</v>
      </c>
      <c r="B11" t="s">
        <v>113</v>
      </c>
      <c r="C11">
        <v>688</v>
      </c>
      <c r="D11">
        <v>20.875</v>
      </c>
      <c r="E11">
        <v>20.875</v>
      </c>
      <c r="F11">
        <v>20.875</v>
      </c>
      <c r="G11">
        <v>24.25</v>
      </c>
      <c r="H11">
        <v>199.5</v>
      </c>
      <c r="I11">
        <v>199.5</v>
      </c>
      <c r="J11">
        <v>199.5</v>
      </c>
      <c r="K11">
        <v>685.375</v>
      </c>
      <c r="L11">
        <v>2.625</v>
      </c>
      <c r="M11">
        <v>2.625</v>
      </c>
      <c r="N11">
        <v>0</v>
      </c>
    </row>
    <row r="12" spans="1:14" x14ac:dyDescent="0.3">
      <c r="A12" t="s">
        <v>81</v>
      </c>
      <c r="B12" t="s">
        <v>112</v>
      </c>
      <c r="C12">
        <v>728</v>
      </c>
      <c r="D12">
        <v>173.75</v>
      </c>
      <c r="E12">
        <v>173.75</v>
      </c>
      <c r="F12">
        <v>173.75</v>
      </c>
      <c r="G12">
        <v>199.5</v>
      </c>
      <c r="K12">
        <v>720.75</v>
      </c>
      <c r="L12">
        <v>7.25</v>
      </c>
      <c r="M12">
        <v>2.0625</v>
      </c>
      <c r="N12">
        <v>5.1875</v>
      </c>
    </row>
    <row r="13" spans="1:14" x14ac:dyDescent="0.3">
      <c r="A13" t="s">
        <v>81</v>
      </c>
      <c r="B13" t="s">
        <v>112</v>
      </c>
      <c r="C13">
        <v>728</v>
      </c>
      <c r="D13">
        <v>146.75</v>
      </c>
      <c r="E13">
        <v>173.75</v>
      </c>
      <c r="F13">
        <v>199.5</v>
      </c>
      <c r="G13">
        <v>199.5</v>
      </c>
      <c r="K13">
        <v>719.5</v>
      </c>
      <c r="L13">
        <v>8.5</v>
      </c>
      <c r="M13">
        <v>2.0625</v>
      </c>
      <c r="N13">
        <v>6.4375</v>
      </c>
    </row>
    <row r="14" spans="1:14" x14ac:dyDescent="0.3">
      <c r="A14" t="s">
        <v>81</v>
      </c>
      <c r="B14" t="s">
        <v>111</v>
      </c>
      <c r="C14">
        <v>764</v>
      </c>
      <c r="D14">
        <v>20.875</v>
      </c>
      <c r="E14">
        <v>166</v>
      </c>
      <c r="F14">
        <v>173.75</v>
      </c>
      <c r="G14">
        <v>199.5</v>
      </c>
      <c r="H14">
        <v>199.5</v>
      </c>
      <c r="K14">
        <v>759.625</v>
      </c>
      <c r="L14">
        <v>4.375</v>
      </c>
      <c r="M14">
        <v>2.25</v>
      </c>
      <c r="N14">
        <v>2.125</v>
      </c>
    </row>
    <row r="15" spans="1:14" x14ac:dyDescent="0.3">
      <c r="A15" t="s">
        <v>90</v>
      </c>
      <c r="B15" t="s">
        <v>58</v>
      </c>
      <c r="C15">
        <v>480</v>
      </c>
      <c r="D15">
        <v>30.125</v>
      </c>
      <c r="E15">
        <v>30.125</v>
      </c>
      <c r="F15">
        <v>29.5</v>
      </c>
      <c r="G15">
        <v>29.5</v>
      </c>
      <c r="K15">
        <v>119.25</v>
      </c>
      <c r="L15">
        <v>360.75</v>
      </c>
      <c r="M15">
        <v>2.0625</v>
      </c>
      <c r="N15">
        <v>358.6875</v>
      </c>
    </row>
    <row r="16" spans="1:14" x14ac:dyDescent="0.3">
      <c r="A16" t="s">
        <v>86</v>
      </c>
      <c r="B16" t="s">
        <v>51</v>
      </c>
      <c r="C16">
        <v>480</v>
      </c>
      <c r="D16">
        <v>139.375</v>
      </c>
      <c r="E16">
        <v>112.375</v>
      </c>
      <c r="F16">
        <v>75.5</v>
      </c>
      <c r="G16">
        <v>144.75</v>
      </c>
      <c r="K16">
        <v>472</v>
      </c>
      <c r="L16">
        <v>8</v>
      </c>
      <c r="M16">
        <v>2.0625</v>
      </c>
      <c r="N16">
        <v>5.9375</v>
      </c>
    </row>
    <row r="17" spans="1:14" x14ac:dyDescent="0.3">
      <c r="A17" t="s">
        <v>86</v>
      </c>
      <c r="B17" t="s">
        <v>51</v>
      </c>
      <c r="C17">
        <v>480</v>
      </c>
      <c r="D17">
        <v>161.75</v>
      </c>
      <c r="E17">
        <v>139.375</v>
      </c>
      <c r="F17">
        <v>139.375</v>
      </c>
      <c r="K17">
        <v>440.5</v>
      </c>
      <c r="L17">
        <v>39.5</v>
      </c>
      <c r="M17">
        <v>1.875</v>
      </c>
      <c r="N17">
        <v>37.625</v>
      </c>
    </row>
    <row r="18" spans="1:14" x14ac:dyDescent="0.3">
      <c r="A18" t="s">
        <v>88</v>
      </c>
      <c r="B18" t="s">
        <v>53</v>
      </c>
      <c r="C18">
        <v>480</v>
      </c>
      <c r="D18">
        <v>478.5</v>
      </c>
      <c r="K18">
        <v>478.5</v>
      </c>
      <c r="L18">
        <v>1.5</v>
      </c>
      <c r="M18">
        <v>1.5</v>
      </c>
      <c r="N18">
        <v>0</v>
      </c>
    </row>
    <row r="19" spans="1:14" x14ac:dyDescent="0.3">
      <c r="A19" t="s">
        <v>88</v>
      </c>
      <c r="B19" t="s">
        <v>53</v>
      </c>
      <c r="C19">
        <v>480</v>
      </c>
      <c r="D19">
        <v>215.25</v>
      </c>
      <c r="E19">
        <v>215.25</v>
      </c>
      <c r="F19">
        <v>30.625</v>
      </c>
      <c r="K19">
        <v>461.125</v>
      </c>
      <c r="L19">
        <v>18.875</v>
      </c>
      <c r="M19">
        <v>1.875</v>
      </c>
      <c r="N19">
        <v>17</v>
      </c>
    </row>
    <row r="20" spans="1:14" x14ac:dyDescent="0.3">
      <c r="A20" t="s">
        <v>88</v>
      </c>
      <c r="B20" t="s">
        <v>53</v>
      </c>
      <c r="C20">
        <v>480</v>
      </c>
      <c r="D20">
        <v>133.5</v>
      </c>
      <c r="E20">
        <v>133.5</v>
      </c>
      <c r="F20">
        <v>209.75</v>
      </c>
      <c r="K20">
        <v>476.75</v>
      </c>
      <c r="L20">
        <v>3.25</v>
      </c>
      <c r="M20">
        <v>1.875</v>
      </c>
      <c r="N20">
        <v>1.375</v>
      </c>
    </row>
    <row r="21" spans="1:14" x14ac:dyDescent="0.3">
      <c r="A21" t="s">
        <v>88</v>
      </c>
      <c r="B21" t="s">
        <v>53</v>
      </c>
      <c r="C21">
        <v>480</v>
      </c>
      <c r="D21">
        <v>145.375</v>
      </c>
      <c r="E21">
        <v>139.375</v>
      </c>
      <c r="F21">
        <v>139.375</v>
      </c>
      <c r="K21">
        <v>424.125</v>
      </c>
      <c r="L21">
        <v>55.875</v>
      </c>
      <c r="M21">
        <v>1.875</v>
      </c>
      <c r="N21">
        <v>54</v>
      </c>
    </row>
    <row r="22" spans="1:14" x14ac:dyDescent="0.3">
      <c r="A22" t="s">
        <v>88</v>
      </c>
      <c r="B22" t="s">
        <v>53</v>
      </c>
      <c r="C22">
        <v>480</v>
      </c>
      <c r="D22">
        <v>209.75</v>
      </c>
      <c r="E22">
        <v>209.75</v>
      </c>
      <c r="K22">
        <v>419.5</v>
      </c>
      <c r="L22">
        <v>60.5</v>
      </c>
      <c r="M22">
        <v>1.6875</v>
      </c>
      <c r="N22">
        <v>58.8125</v>
      </c>
    </row>
    <row r="23" spans="1:14" x14ac:dyDescent="0.3">
      <c r="A23" t="s">
        <v>88</v>
      </c>
      <c r="B23" t="s">
        <v>53</v>
      </c>
      <c r="C23">
        <v>480</v>
      </c>
      <c r="D23">
        <v>139.375</v>
      </c>
      <c r="E23">
        <v>139.375</v>
      </c>
      <c r="F23">
        <v>139.375</v>
      </c>
      <c r="K23">
        <v>418.125</v>
      </c>
      <c r="L23">
        <v>61.875</v>
      </c>
      <c r="M23">
        <v>1.875</v>
      </c>
      <c r="N23">
        <v>60</v>
      </c>
    </row>
    <row r="24" spans="1:14" x14ac:dyDescent="0.3">
      <c r="A24" t="s">
        <v>88</v>
      </c>
      <c r="B24" t="s">
        <v>53</v>
      </c>
      <c r="C24">
        <v>480</v>
      </c>
      <c r="D24">
        <v>209.75</v>
      </c>
      <c r="E24">
        <v>139.375</v>
      </c>
      <c r="K24">
        <v>349.125</v>
      </c>
      <c r="L24">
        <v>130.875</v>
      </c>
      <c r="M24">
        <v>1.6875</v>
      </c>
      <c r="N24">
        <v>129.1875</v>
      </c>
    </row>
    <row r="25" spans="1:14" x14ac:dyDescent="0.3">
      <c r="A25" t="s">
        <v>88</v>
      </c>
      <c r="B25" t="s">
        <v>53</v>
      </c>
      <c r="C25">
        <v>480</v>
      </c>
      <c r="D25">
        <v>139.375</v>
      </c>
      <c r="K25">
        <v>139.375</v>
      </c>
      <c r="L25">
        <v>340.625</v>
      </c>
      <c r="M25">
        <v>1.5</v>
      </c>
      <c r="N25">
        <v>339.125</v>
      </c>
    </row>
    <row r="27" spans="1:14" x14ac:dyDescent="0.3">
      <c r="C27">
        <v>14040</v>
      </c>
      <c r="K27">
        <v>12543.75</v>
      </c>
      <c r="L27">
        <v>1496.25</v>
      </c>
    </row>
    <row r="28" spans="1:14" x14ac:dyDescent="0.3">
      <c r="L28" s="19">
        <v>0.1066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SIVAS-1</cp:lastModifiedBy>
  <cp:lastPrinted>2022-06-08T05:42:53Z</cp:lastPrinted>
  <dcterms:created xsi:type="dcterms:W3CDTF">2015-06-05T18:17:20Z</dcterms:created>
  <dcterms:modified xsi:type="dcterms:W3CDTF">2023-06-28T07:55:11Z</dcterms:modified>
</cp:coreProperties>
</file>