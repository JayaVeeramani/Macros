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IN-2\Desktop\"/>
    </mc:Choice>
  </mc:AlternateContent>
  <xr:revisionPtr revIDLastSave="0" documentId="13_ncr:1_{775FF29D-C579-4164-AD01-9264D723409A}" xr6:coauthVersionLast="47" xr6:coauthVersionMax="47" xr10:uidLastSave="{00000000-0000-0000-0000-000000000000}"/>
  <bookViews>
    <workbookView minimized="1" xWindow="15372" yWindow="2796" windowWidth="5844" windowHeight="8856" tabRatio="500" firstSheet="2" activeTab="2" xr2:uid="{00000000-000D-0000-FFFF-FFFF00000000}"/>
  </bookViews>
  <sheets>
    <sheet name="Summary" sheetId="23" r:id="rId1"/>
    <sheet name="TOP LEVEL" sheetId="1" r:id="rId2"/>
    <sheet name="SP-18808" sheetId="2" r:id="rId3"/>
    <sheet name="SP-19131" sheetId="3" r:id="rId4"/>
    <sheet name="SP-19094" sheetId="4" r:id="rId5"/>
    <sheet name="WTNW-008" sheetId="5" r:id="rId6"/>
    <sheet name="SP-18934" sheetId="6" r:id="rId7"/>
    <sheet name="SP-19231" sheetId="7" r:id="rId8"/>
    <sheet name="SP-19226" sheetId="8" r:id="rId9"/>
    <sheet name="WTNW-011" sheetId="9" r:id="rId10"/>
    <sheet name="SP-19203" sheetId="10" r:id="rId11"/>
    <sheet name="SP-19176" sheetId="11" r:id="rId12"/>
    <sheet name="SP-19181" sheetId="12" r:id="rId13"/>
    <sheet name="SP-19321" sheetId="13" r:id="rId14"/>
    <sheet name="SP-19378" sheetId="14" r:id="rId15"/>
    <sheet name="SP-19255" sheetId="15" r:id="rId16"/>
    <sheet name="SP-19338" sheetId="16" r:id="rId17"/>
    <sheet name="SP-18933" sheetId="17" r:id="rId18"/>
    <sheet name="SP-19767" sheetId="18" r:id="rId19"/>
    <sheet name="SP-27592" sheetId="19" r:id="rId20"/>
    <sheet name="SP-19127" sheetId="20" r:id="rId21"/>
    <sheet name="SP-20382" sheetId="21" r:id="rId22"/>
  </sheets>
  <externalReferences>
    <externalReference r:id="rId23"/>
  </externalReferences>
  <definedNames>
    <definedName name="_xlnm._FilterDatabase" localSheetId="2" hidden="1">'SP-18808'!$A$3:$I$86</definedName>
    <definedName name="_xlnm._FilterDatabase" localSheetId="17" hidden="1">'SP-18933'!$A$3:$H$500</definedName>
    <definedName name="_xlnm._FilterDatabase" localSheetId="6" hidden="1">'SP-18934'!$A$3:$H$500</definedName>
    <definedName name="_xlnm._FilterDatabase" localSheetId="4" hidden="1">'SP-19094'!$A$3:$H$500</definedName>
    <definedName name="_xlnm._FilterDatabase" localSheetId="20" hidden="1">'SP-19127'!$A$3:$H$500</definedName>
    <definedName name="_xlnm._FilterDatabase" localSheetId="3" hidden="1">'SP-19131'!$A$3:$H$500</definedName>
    <definedName name="_xlnm._FilterDatabase" localSheetId="11" hidden="1">'SP-19176'!$A$3:$H$500</definedName>
    <definedName name="_xlnm._FilterDatabase" localSheetId="12" hidden="1">'SP-19181'!$A$3:$H$500</definedName>
    <definedName name="_xlnm._FilterDatabase" localSheetId="10" hidden="1">'SP-19203'!$A$3:$H$500</definedName>
    <definedName name="_xlnm._FilterDatabase" localSheetId="8" hidden="1">'SP-19226'!$A$3:$H$500</definedName>
    <definedName name="_xlnm._FilterDatabase" localSheetId="7" hidden="1">'SP-19231'!$A$3:$H$500</definedName>
    <definedName name="_xlnm._FilterDatabase" localSheetId="15" hidden="1">'SP-19255'!$A$3:$H$500</definedName>
    <definedName name="_xlnm._FilterDatabase" localSheetId="13" hidden="1">'SP-19321'!$A$3:$H$500</definedName>
    <definedName name="_xlnm._FilterDatabase" localSheetId="16" hidden="1">'SP-19338'!$A$3:$H$500</definedName>
    <definedName name="_xlnm._FilterDatabase" localSheetId="14" hidden="1">'SP-19378'!$A$3:$H$500</definedName>
    <definedName name="_xlnm._FilterDatabase" localSheetId="18" hidden="1">'SP-19767'!$A$3:$H$500</definedName>
    <definedName name="_xlnm._FilterDatabase" localSheetId="21" hidden="1">'SP-20382'!$A$3:$H$500</definedName>
    <definedName name="_xlnm._FilterDatabase" localSheetId="19" hidden="1">'SP-27592'!$A$3:$H$500</definedName>
    <definedName name="_xlnm._FilterDatabase" localSheetId="1" hidden="1">'TOP LEVEL'!$A$3:$H$500</definedName>
    <definedName name="_xlnm._FilterDatabase" localSheetId="5" hidden="1">'WTNW-008'!$A$3:$H$500</definedName>
    <definedName name="_xlnm._FilterDatabase" localSheetId="9" hidden="1">'WTNW-011'!$A$3:$H$500</definedName>
    <definedName name="_xlnm.Criteria" localSheetId="0">Summary!$A$1:$B$2</definedName>
    <definedName name="_xlnm.Extract" localSheetId="0">Summary!#REF!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5" i="2" l="1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4" i="2" s="1"/>
  <c r="I22" i="2"/>
  <c r="I23" i="2"/>
  <c r="I25" i="2"/>
  <c r="I26" i="2"/>
  <c r="I29" i="2" s="1"/>
  <c r="I28" i="2"/>
  <c r="I30" i="2"/>
  <c r="I31" i="2"/>
  <c r="I32" i="2"/>
  <c r="I33" i="2"/>
  <c r="I34" i="2"/>
  <c r="I35" i="2"/>
  <c r="I36" i="2"/>
  <c r="I37" i="2"/>
  <c r="I38" i="2"/>
  <c r="I41" i="2" s="1"/>
  <c r="I40" i="2"/>
  <c r="I42" i="2"/>
  <c r="I43" i="2"/>
  <c r="I44" i="2"/>
  <c r="I45" i="2"/>
  <c r="I46" i="2"/>
  <c r="I47" i="2"/>
  <c r="I48" i="2"/>
  <c r="I49" i="2"/>
  <c r="I50" i="2"/>
  <c r="I51" i="2"/>
  <c r="I53" i="2" s="1"/>
  <c r="I52" i="2"/>
  <c r="I54" i="2"/>
  <c r="I55" i="2"/>
  <c r="I56" i="2" s="1"/>
  <c r="I57" i="2"/>
  <c r="I58" i="2"/>
  <c r="I59" i="2"/>
  <c r="I60" i="2" s="1"/>
  <c r="I62" i="2"/>
  <c r="I63" i="2"/>
  <c r="I64" i="2"/>
  <c r="I65" i="2"/>
  <c r="I66" i="2"/>
  <c r="I67" i="2"/>
  <c r="I68" i="2"/>
  <c r="I69" i="2"/>
  <c r="I70" i="2"/>
  <c r="I72" i="2" s="1"/>
  <c r="I71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I39" i="2" l="1"/>
  <c r="I27" i="2"/>
  <c r="I61" i="2"/>
  <c r="K3" i="1"/>
  <c r="H4" i="2"/>
  <c r="H5" i="3"/>
  <c r="H4" i="3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4" i="11"/>
  <c r="H5" i="7"/>
  <c r="H6" i="7"/>
  <c r="H4" i="7"/>
  <c r="H5" i="5"/>
  <c r="H4" i="5"/>
  <c r="H5" i="4"/>
  <c r="H6" i="4"/>
  <c r="H4" i="4"/>
  <c r="H5" i="10"/>
  <c r="H6" i="10"/>
  <c r="H7" i="10"/>
  <c r="H8" i="10"/>
  <c r="H9" i="10"/>
  <c r="H4" i="10"/>
  <c r="H5" i="21"/>
  <c r="H4" i="21"/>
  <c r="H5" i="20"/>
  <c r="H6" i="20"/>
  <c r="H7" i="20"/>
  <c r="H8" i="20"/>
  <c r="H9" i="20"/>
  <c r="H10" i="20"/>
  <c r="H4" i="20"/>
  <c r="H5" i="19"/>
  <c r="H6" i="19"/>
  <c r="H7" i="19"/>
  <c r="H8" i="19"/>
  <c r="H9" i="19"/>
  <c r="H4" i="19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4" i="18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4" i="17"/>
  <c r="H5" i="16"/>
  <c r="H6" i="16"/>
  <c r="H7" i="16"/>
  <c r="H8" i="16"/>
  <c r="H9" i="16"/>
  <c r="H10" i="16"/>
  <c r="H11" i="16"/>
  <c r="H12" i="16"/>
  <c r="H13" i="16"/>
  <c r="H14" i="16"/>
  <c r="H4" i="16"/>
  <c r="H5" i="15"/>
  <c r="H6" i="15"/>
  <c r="H7" i="15"/>
  <c r="H8" i="15"/>
  <c r="H9" i="15"/>
  <c r="H10" i="15"/>
  <c r="H11" i="15"/>
  <c r="H12" i="15"/>
  <c r="H13" i="15"/>
  <c r="H14" i="15"/>
  <c r="H4" i="15"/>
  <c r="H5" i="14"/>
  <c r="H6" i="14"/>
  <c r="H7" i="14"/>
  <c r="H8" i="14"/>
  <c r="H9" i="14"/>
  <c r="H10" i="14"/>
  <c r="H4" i="14"/>
  <c r="H5" i="13"/>
  <c r="H6" i="13"/>
  <c r="H7" i="13"/>
  <c r="H4" i="13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4" i="12"/>
  <c r="H5" i="9"/>
  <c r="H4" i="9"/>
  <c r="H5" i="8"/>
  <c r="H6" i="8"/>
  <c r="H4" i="8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4" i="6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</calcChain>
</file>

<file path=xl/sharedStrings.xml><?xml version="1.0" encoding="utf-8"?>
<sst xmlns="http://schemas.openxmlformats.org/spreadsheetml/2006/main" count="2085" uniqueCount="402">
  <si>
    <t>DH ADJUSTABLE NOTCHER</t>
  </si>
  <si>
    <t>ITEM NO.</t>
  </si>
  <si>
    <t>PART NUMBER</t>
  </si>
  <si>
    <t>DESCRIPTION</t>
  </si>
  <si>
    <t>QTY.</t>
  </si>
  <si>
    <t>TYPE</t>
  </si>
  <si>
    <t>BUY/MAKE</t>
  </si>
  <si>
    <t>SUPPLIER</t>
  </si>
  <si>
    <t>SP-18808</t>
  </si>
  <si>
    <t>BASE WELDMENT</t>
  </si>
  <si>
    <t>MAKE</t>
  </si>
  <si>
    <t>SPH</t>
  </si>
  <si>
    <t>SP-18814</t>
  </si>
  <si>
    <t>BOTTOM PLATE</t>
  </si>
  <si>
    <t>EM2334T</t>
  </si>
  <si>
    <t>BUY</t>
  </si>
  <si>
    <t>SP-19131</t>
  </si>
  <si>
    <t>MOTOR COVER ASSEMBLY</t>
  </si>
  <si>
    <t>UCP-210-31</t>
  </si>
  <si>
    <t>1 15/16 PILLOW BLOCK BEARING</t>
  </si>
  <si>
    <t>SP-19092</t>
  </si>
  <si>
    <t>SHAFT</t>
  </si>
  <si>
    <t>UCP-207-23</t>
  </si>
  <si>
    <t>WTN-041</t>
  </si>
  <si>
    <t>CRANK SHAFT ARM</t>
  </si>
  <si>
    <t>WTN-040</t>
  </si>
  <si>
    <t>CONNECTING ROD</t>
  </si>
  <si>
    <t>SP-19094</t>
  </si>
  <si>
    <t>SUPPORT WELDMENT</t>
  </si>
  <si>
    <t>WTNW-008</t>
  </si>
  <si>
    <t>TAB ASSEMBLY</t>
  </si>
  <si>
    <t>SP-18934</t>
  </si>
  <si>
    <t>12 INCH CUTTER HEAD</t>
  </si>
  <si>
    <t>SP-19231</t>
  </si>
  <si>
    <t>GUIDE PLATE ASSEMBLY</t>
  </si>
  <si>
    <t>SP-19226</t>
  </si>
  <si>
    <t>WTN-009</t>
  </si>
  <si>
    <t>WTNW-011</t>
  </si>
  <si>
    <t>MOUNTING TAB</t>
  </si>
  <si>
    <t>SP-19203</t>
  </si>
  <si>
    <t>TABLE WELDMENT</t>
  </si>
  <si>
    <t>50BS30 1 7_16</t>
  </si>
  <si>
    <t>5V9252</t>
  </si>
  <si>
    <t>5V4652</t>
  </si>
  <si>
    <t>VM3539</t>
  </si>
  <si>
    <t>1/2 HP MOTOR</t>
  </si>
  <si>
    <t>SP-19368</t>
  </si>
  <si>
    <t>ROD</t>
  </si>
  <si>
    <t>CNHJ-6095Y-87</t>
  </si>
  <si>
    <t>SP-19176</t>
  </si>
  <si>
    <t>NOTCHEER LEFT SIDE WELDMENT</t>
  </si>
  <si>
    <t>50A30</t>
  </si>
  <si>
    <t>A' Plate Style - Stock Bore</t>
  </si>
  <si>
    <t>SP-19181</t>
  </si>
  <si>
    <t>NOTCHER RIGHT SIDE WELDMENT</t>
  </si>
  <si>
    <t>SDS11516</t>
  </si>
  <si>
    <t>SK158</t>
  </si>
  <si>
    <t>SP-19321</t>
  </si>
  <si>
    <t>SP-19378</t>
  </si>
  <si>
    <t>MESH GUARD</t>
  </si>
  <si>
    <t>CF 1 1-2</t>
  </si>
  <si>
    <t>SP-19255</t>
  </si>
  <si>
    <t>FRONT DOOR ASSEMBLY</t>
  </si>
  <si>
    <t>90165A520</t>
  </si>
  <si>
    <t>SP-19277</t>
  </si>
  <si>
    <t>SIDE COVER PLATE</t>
  </si>
  <si>
    <t>SP-19328</t>
  </si>
  <si>
    <t>RIGHT SIDE COVER PLATE</t>
  </si>
  <si>
    <t>UCP 205-16</t>
  </si>
  <si>
    <t>BEARING</t>
  </si>
  <si>
    <t>98935A471</t>
  </si>
  <si>
    <t>6022K34</t>
  </si>
  <si>
    <t>Hand Wheel</t>
  </si>
  <si>
    <t>SP-18106</t>
  </si>
  <si>
    <t>LOCK PLATE</t>
  </si>
  <si>
    <t>SP-19338</t>
  </si>
  <si>
    <t>TENSIONER ASSEMBLY</t>
  </si>
  <si>
    <t>SP-18933</t>
  </si>
  <si>
    <t>SP-19767</t>
  </si>
  <si>
    <t>BLADE MOUNTING WELDMENT</t>
  </si>
  <si>
    <t>SP-27592</t>
  </si>
  <si>
    <t>CHUTE COVER</t>
  </si>
  <si>
    <t>WELDMENT</t>
  </si>
  <si>
    <t>92620A720</t>
  </si>
  <si>
    <t>1/2” HEX BOLT</t>
  </si>
  <si>
    <t>OEM</t>
  </si>
  <si>
    <t>HVB-053 HVPS-1</t>
  </si>
  <si>
    <t>PBC Linear Carriage</t>
  </si>
  <si>
    <t>SP-19771</t>
  </si>
  <si>
    <t>SPACER</t>
  </si>
  <si>
    <t>SHEET</t>
  </si>
  <si>
    <t>SP-25546</t>
  </si>
  <si>
    <t>L-ANGLE</t>
  </si>
  <si>
    <t>TUBE</t>
  </si>
  <si>
    <t>SP-19127</t>
  </si>
  <si>
    <t>6330K29</t>
  </si>
  <si>
    <t>FINGER GRIP</t>
  </si>
  <si>
    <t>62215K58</t>
  </si>
  <si>
    <t>SP-20382</t>
  </si>
  <si>
    <t>SP-22780</t>
  </si>
  <si>
    <t>THREE-ARM KNOB</t>
  </si>
  <si>
    <t>WTN-031</t>
  </si>
  <si>
    <t>WTN-032</t>
  </si>
  <si>
    <t>WTN-033</t>
  </si>
  <si>
    <t>57715K64</t>
  </si>
  <si>
    <t>94804A340</t>
  </si>
  <si>
    <t>HEX NUT 1/2-13”</t>
  </si>
  <si>
    <t>DOOR HANDLE ASSEMBLY</t>
  </si>
  <si>
    <t>SP-27881</t>
  </si>
  <si>
    <t>COLOURED ONCE ARE WELDMENTS</t>
  </si>
  <si>
    <t>COLOURED ONCE BELONGS TO ADJUSTABLE BLADE</t>
  </si>
  <si>
    <t>SP-18810</t>
  </si>
  <si>
    <t>SP-19276</t>
  </si>
  <si>
    <t>SP-18813</t>
  </si>
  <si>
    <t>SP-19265</t>
  </si>
  <si>
    <t>SP-19805</t>
  </si>
  <si>
    <t>MOUNTING WELDMENT</t>
  </si>
  <si>
    <t xml:space="preserve">  SP-19797</t>
  </si>
  <si>
    <t xml:space="preserve">  SP-20122</t>
  </si>
  <si>
    <t xml:space="preserve">  WTN-026</t>
  </si>
  <si>
    <t>MOUNTING PLATE</t>
  </si>
  <si>
    <t>SP-19796</t>
  </si>
  <si>
    <t xml:space="preserve">  SP-19183</t>
  </si>
  <si>
    <t xml:space="preserve">  SP-19184</t>
  </si>
  <si>
    <t xml:space="preserve">  SP-19185</t>
  </si>
  <si>
    <t xml:space="preserve">  SP-19794</t>
  </si>
  <si>
    <t>MOUNTING BRACKET</t>
  </si>
  <si>
    <t xml:space="preserve">  SP-19795</t>
  </si>
  <si>
    <t>SP-19347</t>
  </si>
  <si>
    <t>CONTROLLER WELDMENT</t>
  </si>
  <si>
    <t xml:space="preserve">  SP-22882</t>
  </si>
  <si>
    <t>7.1.1</t>
  </si>
  <si>
    <t xml:space="preserve">    SP-22825</t>
  </si>
  <si>
    <t>7.1.1.1</t>
  </si>
  <si>
    <t xml:space="preserve">      SP-27886</t>
  </si>
  <si>
    <t>7.1.1.2</t>
  </si>
  <si>
    <t xml:space="preserve">      SP-27885</t>
  </si>
  <si>
    <t>7.1.1.3</t>
  </si>
  <si>
    <t xml:space="preserve">      SP-22875</t>
  </si>
  <si>
    <t>7.1.1.4</t>
  </si>
  <si>
    <t xml:space="preserve">      SP-19400</t>
  </si>
  <si>
    <t>PLATE</t>
  </si>
  <si>
    <t>7.1.2</t>
  </si>
  <si>
    <t xml:space="preserve">    SP-22819</t>
  </si>
  <si>
    <t>7.1.2.1</t>
  </si>
  <si>
    <t xml:space="preserve">      SP-22877</t>
  </si>
  <si>
    <t>7.1.2.2</t>
  </si>
  <si>
    <t xml:space="preserve">      SP-22878</t>
  </si>
  <si>
    <t>7.1.2.3</t>
  </si>
  <si>
    <t xml:space="preserve">      SP-27887</t>
  </si>
  <si>
    <t>7.1.3</t>
  </si>
  <si>
    <t xml:space="preserve">    WTN-056</t>
  </si>
  <si>
    <t xml:space="preserve">  PBGX4</t>
  </si>
  <si>
    <t xml:space="preserve">  SP-19365</t>
  </si>
  <si>
    <t>7.3.1</t>
  </si>
  <si>
    <t xml:space="preserve">    SP-19401</t>
  </si>
  <si>
    <t>7.3.2</t>
  </si>
  <si>
    <t xml:space="preserve">    SP-19400</t>
  </si>
  <si>
    <t xml:space="preserve">   9600K54</t>
  </si>
  <si>
    <t>SP-19286</t>
  </si>
  <si>
    <t>MOTOR MOUNTING PLATE</t>
  </si>
  <si>
    <t>WTN-043</t>
  </si>
  <si>
    <t>TAB</t>
  </si>
  <si>
    <t>SP-19366</t>
  </si>
  <si>
    <t>TUBE WELDMENT</t>
  </si>
  <si>
    <t xml:space="preserve">  SP-19425</t>
  </si>
  <si>
    <t xml:space="preserve">  SP-19426</t>
  </si>
  <si>
    <t xml:space="preserve">  SP-20390</t>
  </si>
  <si>
    <t>SP-20350</t>
  </si>
  <si>
    <t>SP-19099</t>
  </si>
  <si>
    <t>SPACER PLATE</t>
  </si>
  <si>
    <t>SP-19100</t>
  </si>
  <si>
    <t>WTN-070</t>
  </si>
  <si>
    <t>SP-18812</t>
  </si>
  <si>
    <t>SUPPORT PLATE</t>
  </si>
  <si>
    <t>SP-19097</t>
  </si>
  <si>
    <t>SUPPORT TUBE</t>
  </si>
  <si>
    <t>SP-19367</t>
  </si>
  <si>
    <t xml:space="preserve">  SP-19441</t>
  </si>
  <si>
    <t>SP-19372</t>
  </si>
  <si>
    <t xml:space="preserve">  SP-19442</t>
  </si>
  <si>
    <t>SP-20122</t>
  </si>
  <si>
    <t>SP-19390</t>
  </si>
  <si>
    <t xml:space="preserve">  SP-19537</t>
  </si>
  <si>
    <t xml:space="preserve">  SP-19539</t>
  </si>
  <si>
    <t xml:space="preserve">  SP-19538</t>
  </si>
  <si>
    <t>SP-19806</t>
  </si>
  <si>
    <t xml:space="preserve">  SP-19800</t>
  </si>
  <si>
    <t xml:space="preserve">  SP-18768</t>
  </si>
  <si>
    <t>BOOMERANG MOUNTING PLATE</t>
  </si>
  <si>
    <t>HVR-1-2500</t>
  </si>
  <si>
    <t>C RAIL</t>
  </si>
  <si>
    <t>HVR-1-1500</t>
  </si>
  <si>
    <t>SP-20415</t>
  </si>
  <si>
    <t>SP-20376</t>
  </si>
  <si>
    <t>GUARDING MOUNT WELDMENT</t>
  </si>
  <si>
    <t xml:space="preserve">  SP-20411</t>
  </si>
  <si>
    <t>L ANGLE</t>
  </si>
  <si>
    <t xml:space="preserve">  SP-20412</t>
  </si>
  <si>
    <t>SP-20377</t>
  </si>
  <si>
    <t>SP-22808</t>
  </si>
  <si>
    <t>SP-22806</t>
  </si>
  <si>
    <t>SP-22802</t>
  </si>
  <si>
    <t>CLEVIS</t>
  </si>
  <si>
    <t>SP-19340</t>
  </si>
  <si>
    <t>SP-22804</t>
  </si>
  <si>
    <t>RAIL MOUNTING PLATE</t>
  </si>
  <si>
    <t>SP-22805</t>
  </si>
  <si>
    <t>SP-22803</t>
  </si>
  <si>
    <t>SP-19341</t>
  </si>
  <si>
    <t>GUSSET PLATE</t>
  </si>
  <si>
    <t>SP-22817</t>
  </si>
  <si>
    <t>L BRACKET</t>
  </si>
  <si>
    <t>SP-19296</t>
  </si>
  <si>
    <t>SP-22821</t>
  </si>
  <si>
    <t>90594A031</t>
  </si>
  <si>
    <t>3/8” WELD NUT</t>
  </si>
  <si>
    <t>HVR-S 800</t>
  </si>
  <si>
    <t>PBC LINEAR C-RAIL</t>
  </si>
  <si>
    <t>SP-25549</t>
  </si>
  <si>
    <t>SP-19129</t>
  </si>
  <si>
    <t>SP-19125</t>
  </si>
  <si>
    <t>SP-19093</t>
  </si>
  <si>
    <t>SP-19298</t>
  </si>
  <si>
    <t>SIDE TAB</t>
  </si>
  <si>
    <t>OTHERS</t>
  </si>
  <si>
    <t>WTN-039</t>
  </si>
  <si>
    <t>WTN-110</t>
  </si>
  <si>
    <t>ROUND PART</t>
  </si>
  <si>
    <t>WTN-055</t>
  </si>
  <si>
    <t>SP-19167</t>
  </si>
  <si>
    <t>CUTTER HEAD 2</t>
  </si>
  <si>
    <t xml:space="preserve">BUY </t>
  </si>
  <si>
    <t>CUTTER HEAD 3</t>
  </si>
  <si>
    <t>CUTTER HEAD 1</t>
  </si>
  <si>
    <t>CUTTER HEAD 4</t>
  </si>
  <si>
    <t>CUTTER HEAD 5</t>
  </si>
  <si>
    <t>CUTTER HEAD 6</t>
  </si>
  <si>
    <t>CUTTER HEAD 7</t>
  </si>
  <si>
    <t>CUTTER HEAD 8</t>
  </si>
  <si>
    <t>CUTTER HEAD 9</t>
  </si>
  <si>
    <t>CUTTER HEAD 10</t>
  </si>
  <si>
    <t>CUTTER HEAD 11</t>
  </si>
  <si>
    <t>CUTTER HEAD 12</t>
  </si>
  <si>
    <t>CUTTER HEAD 13</t>
  </si>
  <si>
    <t>CUTTER HEAD 14</t>
  </si>
  <si>
    <t>CUTTER HEAD A</t>
  </si>
  <si>
    <t>CUTTER HEAD B</t>
  </si>
  <si>
    <t>SP-19166</t>
  </si>
  <si>
    <t>CINCH COLLAR</t>
  </si>
  <si>
    <t>SP-19224</t>
  </si>
  <si>
    <t>GUIDE PLATE</t>
  </si>
  <si>
    <t>SP-19225</t>
  </si>
  <si>
    <r>
      <rPr>
        <sz val="12"/>
        <color rgb="FF000000"/>
        <rFont val="Arial"/>
        <family val="2"/>
        <charset val="1"/>
      </rPr>
      <t xml:space="preserve">Hex Bolt - Inch 3_8-16 
</t>
    </r>
    <r>
      <rPr>
        <sz val="12"/>
        <color rgb="FF000000"/>
        <rFont val="Century Gothic"/>
        <family val="2"/>
        <charset val="1"/>
      </rPr>
      <t>UNC - 2.5</t>
    </r>
  </si>
  <si>
    <t>SP-19227</t>
  </si>
  <si>
    <t>SP-19228</t>
  </si>
  <si>
    <t>ROUND TUBE</t>
  </si>
  <si>
    <t>WTN-017</t>
  </si>
  <si>
    <t>WTN-002</t>
  </si>
  <si>
    <t>SP-19198</t>
  </si>
  <si>
    <t>TOP COVER</t>
  </si>
  <si>
    <t>SP-20354</t>
  </si>
  <si>
    <t>SP-19200</t>
  </si>
  <si>
    <t>WTN-172</t>
  </si>
  <si>
    <t>SIDE PLATE</t>
  </si>
  <si>
    <t>SP-22822</t>
  </si>
  <si>
    <t>SP-19210</t>
  </si>
  <si>
    <t>BACK COVER</t>
  </si>
  <si>
    <t>SP-19221</t>
  </si>
  <si>
    <t>SP-19214</t>
  </si>
  <si>
    <t>SP-20335</t>
  </si>
  <si>
    <t>TAB MOUNTING WELDMENT</t>
  </si>
  <si>
    <t xml:space="preserve">  WTN-071</t>
  </si>
  <si>
    <t xml:space="preserve">  WTN-072</t>
  </si>
  <si>
    <t>GUSSET</t>
  </si>
  <si>
    <t>WTN-076</t>
  </si>
  <si>
    <t>WTN-077</t>
  </si>
  <si>
    <t>SP-19213</t>
  </si>
  <si>
    <t>WTN-019</t>
  </si>
  <si>
    <t>SP-19230</t>
  </si>
  <si>
    <t>MOUNTING ANGLE</t>
  </si>
  <si>
    <t>WTN-008</t>
  </si>
  <si>
    <t>WTN-060L</t>
  </si>
  <si>
    <t>2X2 MESH</t>
  </si>
  <si>
    <t>WTN-111</t>
  </si>
  <si>
    <t>WTN-109</t>
  </si>
  <si>
    <t>WTN-006</t>
  </si>
  <si>
    <t>SP-20199</t>
  </si>
  <si>
    <t>SP-19178</t>
  </si>
  <si>
    <t>HVBEA-455-HVP1</t>
  </si>
  <si>
    <t>98001A145</t>
  </si>
  <si>
    <t>3/8"-16 WELDNUT</t>
  </si>
  <si>
    <t>SP-20342</t>
  </si>
  <si>
    <t>Hex Coupling Nut – Inch (IFI) 1_2 – 13</t>
  </si>
  <si>
    <t>SP-22779</t>
  </si>
  <si>
    <t>SP-27880</t>
  </si>
  <si>
    <t>SP-19323</t>
  </si>
  <si>
    <t>SP-19222</t>
  </si>
  <si>
    <t>SP-19196</t>
  </si>
  <si>
    <t>SP-19191</t>
  </si>
  <si>
    <t>SP-19188</t>
  </si>
  <si>
    <t>WTN-060R</t>
  </si>
  <si>
    <t>SP-19235</t>
  </si>
  <si>
    <t>SP-19182</t>
  </si>
  <si>
    <t>SP-19217</t>
  </si>
  <si>
    <t>SP-19260</t>
  </si>
  <si>
    <t>SP-22826</t>
  </si>
  <si>
    <t>SP-19320</t>
  </si>
  <si>
    <t>MESH GUARD WELDMENT</t>
  </si>
  <si>
    <t xml:space="preserve">  SP-9347</t>
  </si>
  <si>
    <t xml:space="preserve">  SP-20461</t>
  </si>
  <si>
    <t>SP-20372</t>
  </si>
  <si>
    <t>2 X 2 MESH</t>
  </si>
  <si>
    <t>SP-19379</t>
  </si>
  <si>
    <t>GUARD WELDMENT</t>
  </si>
  <si>
    <t xml:space="preserve">  SP-19508</t>
  </si>
  <si>
    <t xml:space="preserve">  SP-19509</t>
  </si>
  <si>
    <t xml:space="preserve">  SP-20467</t>
  </si>
  <si>
    <t xml:space="preserve">  SP-20469</t>
  </si>
  <si>
    <t>SP-19381</t>
  </si>
  <si>
    <t>SP-20385</t>
  </si>
  <si>
    <t>SP-19249</t>
  </si>
  <si>
    <t>FRONT DOOR</t>
  </si>
  <si>
    <t>PIANO HINGE 4IN</t>
  </si>
  <si>
    <t xml:space="preserve">PIANO HINGE 12" </t>
  </si>
  <si>
    <t xml:space="preserve">  HINGE PIN-4</t>
  </si>
  <si>
    <t>HINGE PIN</t>
  </si>
  <si>
    <t xml:space="preserve">  15665A328 HINGE-1-4</t>
  </si>
  <si>
    <t>HINGE</t>
  </si>
  <si>
    <t>DRAW LATCH</t>
  </si>
  <si>
    <t xml:space="preserve">  DRAW LATCH BASE</t>
  </si>
  <si>
    <t xml:space="preserve">  DRAW LATCH</t>
  </si>
  <si>
    <t>SP-22820</t>
  </si>
  <si>
    <t xml:space="preserve">  SP-19254</t>
  </si>
  <si>
    <t xml:space="preserve">  SP-19296</t>
  </si>
  <si>
    <t>DRAW LATCH CATCH</t>
  </si>
  <si>
    <t>06011004-SE_27_00_3d</t>
  </si>
  <si>
    <t>99502H</t>
  </si>
  <si>
    <t>SP-18551</t>
  </si>
  <si>
    <t>CHAIN TRACK SUPPORT</t>
  </si>
  <si>
    <t>92620A809</t>
  </si>
  <si>
    <t>5/8"-11, 4" LONG BOLT</t>
  </si>
  <si>
    <t>95229A600</t>
  </si>
  <si>
    <t>5/8" WASHER</t>
  </si>
  <si>
    <t>97135A270</t>
  </si>
  <si>
    <t>5/8"-11 BOLT</t>
  </si>
  <si>
    <t>SP-18632</t>
  </si>
  <si>
    <t>BOOMERANG PLATE</t>
  </si>
  <si>
    <t>SP-11206</t>
  </si>
  <si>
    <t>90576A119</t>
  </si>
  <si>
    <t>M12 x 1.75 mm NUT</t>
  </si>
  <si>
    <t>91166A290</t>
  </si>
  <si>
    <t>M12 WASHER</t>
  </si>
  <si>
    <t>91280A718</t>
  </si>
  <si>
    <t>M12 x 1.75 mm BOLT</t>
  </si>
  <si>
    <t>SP-27591</t>
  </si>
  <si>
    <t>WTN-026</t>
  </si>
  <si>
    <t>SP-27589</t>
  </si>
  <si>
    <t>PIPE</t>
  </si>
  <si>
    <t>SP-19101</t>
  </si>
  <si>
    <t>MOTOR SUPPORT WELDMENT</t>
  </si>
  <si>
    <t xml:space="preserve">  SP-19524</t>
  </si>
  <si>
    <t>Sheet</t>
  </si>
  <si>
    <t xml:space="preserve">  SP-19527</t>
  </si>
  <si>
    <t xml:space="preserve">  SP-19528</t>
  </si>
  <si>
    <t xml:space="preserve">  SP-19529</t>
  </si>
  <si>
    <t>SP-19102</t>
  </si>
  <si>
    <t xml:space="preserve">  SP-19536</t>
  </si>
  <si>
    <t>SP-19152</t>
  </si>
  <si>
    <t xml:space="preserve">  SP-19540</t>
  </si>
  <si>
    <t xml:space="preserve">  SP-19541</t>
  </si>
  <si>
    <t>SP-18931</t>
  </si>
  <si>
    <t xml:space="preserve">  SP-19542</t>
  </si>
  <si>
    <t xml:space="preserve">  SP-27650</t>
  </si>
  <si>
    <t>SP-19237</t>
  </si>
  <si>
    <t>SP-19238</t>
  </si>
  <si>
    <t>SP-19239</t>
  </si>
  <si>
    <t xml:space="preserve">  SP-19545</t>
  </si>
  <si>
    <t xml:space="preserve">  SP-19546</t>
  </si>
  <si>
    <t>SP-19342</t>
  </si>
  <si>
    <t>THREADED SPACER</t>
  </si>
  <si>
    <t>SP-19153</t>
  </si>
  <si>
    <t xml:space="preserve">  SP-19543</t>
  </si>
  <si>
    <t xml:space="preserve">  SP-19544</t>
  </si>
  <si>
    <t>93023A667</t>
  </si>
  <si>
    <t>COUPLING NUT FOR ACME ROD</t>
  </si>
  <si>
    <t>SP-18768</t>
  </si>
  <si>
    <t>SP-19310</t>
  </si>
  <si>
    <t>SP-19168</t>
  </si>
  <si>
    <t>SP-19183</t>
  </si>
  <si>
    <t>SP-19184</t>
  </si>
  <si>
    <t>SP-19185</t>
  </si>
  <si>
    <t>SP-19794</t>
  </si>
  <si>
    <t>SP-19795</t>
  </si>
  <si>
    <t>SP-19123</t>
  </si>
  <si>
    <t xml:space="preserve">  SP-19520</t>
  </si>
  <si>
    <t>SP-19124</t>
  </si>
  <si>
    <t>SP-19497</t>
  </si>
  <si>
    <t>FINAL QTY</t>
  </si>
  <si>
    <t>FIND MANUALLY</t>
  </si>
  <si>
    <t xml:space="preserve"> </t>
  </si>
  <si>
    <r>
      <t xml:space="preserve">EMERSON-T35LX_1_1-8-
</t>
    </r>
    <r>
      <rPr>
        <sz val="12"/>
        <color rgb="FF000000"/>
        <rFont val="Century Gothic"/>
        <family val="2"/>
        <charset val="1"/>
      </rPr>
      <t>DEFAULT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</si>
</sst>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rgb="FF000000"/>
      <name val="Calibri"/>
      <family val="2"/>
      <charset val="1"/>
    </font>
    <font>
      <b/>
      <sz val="20"/>
      <color rgb="FF000000"/>
      <name val="Arial"/>
      <family val="2"/>
      <charset val="1"/>
    </font>
    <font>
      <b/>
      <sz val="14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color rgb="FFFF0000"/>
      <name val="Arial"/>
      <family val="2"/>
      <charset val="1"/>
    </font>
    <font>
      <sz val="12"/>
      <color rgb="FF000000"/>
      <name val="Century Gothic"/>
      <family val="2"/>
      <charset val="1"/>
    </font>
    <font>
      <sz val="12"/>
      <color rgb="FFFF4000"/>
      <name val="Arial"/>
      <family val="2"/>
      <charset val="1"/>
    </font>
    <font>
      <sz val="12"/>
      <color rgb="FFF10D0C"/>
      <name val="Arial"/>
      <family val="2"/>
      <charset val="1"/>
    </font>
    <font>
      <sz val="12"/>
      <name val="Arial"/>
      <family val="2"/>
      <charset val="1"/>
    </font>
    <font>
      <sz val="14"/>
      <color rgb="FF000000"/>
      <name val="Arial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81D41A"/>
        <bgColor rgb="FF969696"/>
      </patternFill>
    </fill>
    <fill>
      <patternFill patternType="solid">
        <fgColor rgb="FFE0C2CD"/>
        <bgColor rgb="FFCCCCFF"/>
      </patternFill>
    </fill>
    <fill>
      <patternFill patternType="solid">
        <fgColor rgb="FF5B9BD5"/>
        <bgColor rgb="FF969696"/>
      </patternFill>
    </fill>
    <fill>
      <patternFill patternType="solid">
        <fgColor rgb="FFFFFFFF"/>
        <bgColor rgb="FFFFFFCC"/>
      </patternFill>
    </fill>
  </fills>
  <borders count="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left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5" borderId="5" xfId="0" applyFont="1" applyFill="1" applyBorder="1" applyAlignment="1">
      <alignment horizontal="left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center" vertical="center" wrapText="1"/>
    </xf>
    <xf numFmtId="49" fontId="0" fillId="0" borderId="0" xfId="0" applyNumberFormat="1"/>
    <xf numFmtId="49" fontId="2" fillId="3" borderId="1" xfId="0" applyNumberFormat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E0C2CD"/>
      <rgbColor rgb="FF808080"/>
      <rgbColor rgb="FF5B9BD5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CC00"/>
      <rgbColor rgb="FFFF9900"/>
      <rgbColor rgb="FFFF4000"/>
      <rgbColor rgb="FF666699"/>
      <rgbColor rgb="FF969696"/>
      <rgbColor rgb="FF003366"/>
      <rgbColor rgb="FF339966"/>
      <rgbColor rgb="FF003300"/>
      <rgbColor rgb="FF333300"/>
      <rgbColor rgb="FFF10D0C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IRA-5/Desktop/PAND-2/Desktop/new%20dh%20adj%20notcher/dh%20adj%20notcher%20T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</sheetNames>
    <sheetDataSet>
      <sheetData sheetId="0"/>
      <sheetData sheetId="1">
        <row r="1">
          <cell r="B1" t="str">
            <v>SP-18808</v>
          </cell>
          <cell r="C1" t="str">
            <v>BASE WELDMENT</v>
          </cell>
          <cell r="D1">
            <v>1</v>
          </cell>
          <cell r="E1" t="str">
            <v>WELDMENT</v>
          </cell>
        </row>
        <row r="2">
          <cell r="B2" t="str">
            <v>SP-18814</v>
          </cell>
          <cell r="C2" t="str">
            <v>BOTTOM PLATE</v>
          </cell>
          <cell r="D2">
            <v>1</v>
          </cell>
          <cell r="E2" t="str">
            <v>SHEET</v>
          </cell>
        </row>
        <row r="3">
          <cell r="B3" t="str">
            <v>EM2334T</v>
          </cell>
          <cell r="D3">
            <v>2</v>
          </cell>
          <cell r="E3" t="str">
            <v>OEM</v>
          </cell>
        </row>
        <row r="4">
          <cell r="B4" t="str">
            <v>SP-19131</v>
          </cell>
          <cell r="C4" t="str">
            <v>MOTOR COVER ASSEMBLY</v>
          </cell>
          <cell r="D4">
            <v>1</v>
          </cell>
          <cell r="E4" t="str">
            <v>WELDMENT</v>
          </cell>
        </row>
        <row r="5">
          <cell r="B5" t="str">
            <v>UCP-210-31</v>
          </cell>
          <cell r="D5">
            <v>4</v>
          </cell>
          <cell r="E5" t="str">
            <v>OEM</v>
          </cell>
        </row>
        <row r="6">
          <cell r="B6" t="str">
            <v>SP-19092</v>
          </cell>
          <cell r="C6" t="str">
            <v>SHAFT</v>
          </cell>
          <cell r="D6">
            <v>1</v>
          </cell>
          <cell r="E6" t="str">
            <v>ROUND PART</v>
          </cell>
        </row>
        <row r="7">
          <cell r="B7" t="str">
            <v>UCP-207-23</v>
          </cell>
          <cell r="D7">
            <v>2</v>
          </cell>
          <cell r="E7" t="str">
            <v>OEM</v>
          </cell>
        </row>
        <row r="8">
          <cell r="B8" t="str">
            <v>WTN-041</v>
          </cell>
          <cell r="C8" t="str">
            <v>CRANK SHAFT ARM</v>
          </cell>
          <cell r="D8">
            <v>2</v>
          </cell>
          <cell r="E8" t="str">
            <v>OTHERS</v>
          </cell>
        </row>
        <row r="9">
          <cell r="B9" t="str">
            <v>WTN-040</v>
          </cell>
          <cell r="C9" t="str">
            <v>CONNECTING ROD</v>
          </cell>
          <cell r="D9">
            <v>2</v>
          </cell>
          <cell r="E9" t="str">
            <v>OTHERS</v>
          </cell>
        </row>
        <row r="10">
          <cell r="B10" t="str">
            <v>SP-19094</v>
          </cell>
          <cell r="C10" t="str">
            <v>SUPPORT WELDMENT</v>
          </cell>
          <cell r="D10">
            <v>1</v>
          </cell>
          <cell r="E10" t="str">
            <v>WELDMENT</v>
          </cell>
        </row>
        <row r="11">
          <cell r="B11" t="str">
            <v>WTNW-008</v>
          </cell>
          <cell r="D11">
            <v>4</v>
          </cell>
          <cell r="E11" t="str">
            <v>WELDMENT</v>
          </cell>
        </row>
        <row r="12">
          <cell r="B12" t="str">
            <v>SP-18934</v>
          </cell>
          <cell r="C12" t="str">
            <v>12 INCH CUTTER HEAD</v>
          </cell>
          <cell r="D12">
            <v>1</v>
          </cell>
          <cell r="E12" t="str">
            <v>ASSEMBLY</v>
          </cell>
        </row>
        <row r="13">
          <cell r="B13" t="str">
            <v>SP-19231</v>
          </cell>
          <cell r="C13" t="str">
            <v>GUIDE PLATE ASSEMBLY</v>
          </cell>
          <cell r="D13">
            <v>1</v>
          </cell>
          <cell r="E13" t="str">
            <v>WELDMENT</v>
          </cell>
        </row>
        <row r="14">
          <cell r="B14" t="str">
            <v>SP-19226</v>
          </cell>
          <cell r="C14" t="str">
            <v>GUIDE PLATE ASSEMBLY</v>
          </cell>
          <cell r="D14">
            <v>1</v>
          </cell>
          <cell r="E14" t="str">
            <v>WELDMENT</v>
          </cell>
        </row>
        <row r="15">
          <cell r="B15" t="str">
            <v>WTN-009</v>
          </cell>
          <cell r="D15">
            <v>8</v>
          </cell>
          <cell r="E15" t="str">
            <v>SHEET</v>
          </cell>
        </row>
        <row r="16">
          <cell r="B16" t="str">
            <v>WTNW-011</v>
          </cell>
          <cell r="C16" t="str">
            <v>MOUNTING TAB</v>
          </cell>
          <cell r="D16">
            <v>2</v>
          </cell>
          <cell r="E16" t="str">
            <v>WELDMENT</v>
          </cell>
        </row>
        <row r="17">
          <cell r="B17" t="str">
            <v>SP-19203</v>
          </cell>
          <cell r="C17" t="str">
            <v>TABLE WELDMENT</v>
          </cell>
          <cell r="D17">
            <v>1</v>
          </cell>
          <cell r="E17" t="str">
            <v>WELDMENT</v>
          </cell>
        </row>
        <row r="18">
          <cell r="B18" t="str">
            <v>50BS30 1 7_16</v>
          </cell>
          <cell r="D18">
            <v>1</v>
          </cell>
          <cell r="E18" t="str">
            <v>OEM</v>
          </cell>
        </row>
        <row r="19">
          <cell r="B19" t="str">
            <v>5V9252</v>
          </cell>
          <cell r="D19">
            <v>2</v>
          </cell>
          <cell r="E19" t="str">
            <v>OEM</v>
          </cell>
        </row>
        <row r="20">
          <cell r="B20" t="str">
            <v>5V4652</v>
          </cell>
          <cell r="D20">
            <v>2</v>
          </cell>
          <cell r="E20" t="str">
            <v>OEM</v>
          </cell>
        </row>
        <row r="21">
          <cell r="B21" t="str">
            <v>VM3539</v>
          </cell>
          <cell r="C21" t="str">
            <v>1/2 HP MOTOR</v>
          </cell>
          <cell r="D21">
            <v>1</v>
          </cell>
          <cell r="E21" t="str">
            <v>OEM</v>
          </cell>
        </row>
        <row r="22">
          <cell r="B22" t="str">
            <v>SP-19368</v>
          </cell>
          <cell r="C22" t="str">
            <v>ROD</v>
          </cell>
          <cell r="D22">
            <v>2</v>
          </cell>
          <cell r="E22" t="str">
            <v>ROUND PART</v>
          </cell>
        </row>
        <row r="23">
          <cell r="B23" t="str">
            <v>CNHJ-6095Y-87</v>
          </cell>
          <cell r="D23">
            <v>1</v>
          </cell>
          <cell r="E23" t="str">
            <v>OEM</v>
          </cell>
        </row>
        <row r="24">
          <cell r="B24" t="str">
            <v>EMERSON-T35LX_1_1-8-
DEFAULT</v>
          </cell>
          <cell r="D24">
            <v>1</v>
          </cell>
          <cell r="E24" t="str">
            <v>OEM</v>
          </cell>
        </row>
        <row r="25">
          <cell r="B25">
            <v>102226</v>
          </cell>
          <cell r="D25">
            <v>102</v>
          </cell>
          <cell r="E25" t="str">
            <v>OEM</v>
          </cell>
        </row>
        <row r="26">
          <cell r="B26" t="str">
            <v>SP-19176</v>
          </cell>
          <cell r="C26" t="str">
            <v>NOTCHEER LEFT SIDE WELDMENT</v>
          </cell>
          <cell r="D26">
            <v>1</v>
          </cell>
          <cell r="E26" t="str">
            <v>WELDMENT</v>
          </cell>
        </row>
        <row r="27">
          <cell r="B27" t="str">
            <v>50A30</v>
          </cell>
          <cell r="C27" t="str">
            <v>A' Plate Style - Stock Bore</v>
          </cell>
          <cell r="D27">
            <v>1</v>
          </cell>
          <cell r="E27" t="str">
            <v>OEM</v>
          </cell>
        </row>
        <row r="28">
          <cell r="B28" t="str">
            <v>SP-19181</v>
          </cell>
          <cell r="C28" t="str">
            <v>NOTCHER RIGHT SIDE WELDMENT</v>
          </cell>
          <cell r="D28">
            <v>1</v>
          </cell>
          <cell r="E28" t="str">
            <v>WELDMENT</v>
          </cell>
        </row>
        <row r="29">
          <cell r="B29" t="str">
            <v>SDS11516</v>
          </cell>
          <cell r="D29">
            <v>1</v>
          </cell>
          <cell r="E29" t="str">
            <v>OEM</v>
          </cell>
        </row>
        <row r="30">
          <cell r="B30" t="str">
            <v>SK158</v>
          </cell>
          <cell r="D30">
            <v>1</v>
          </cell>
          <cell r="E30" t="str">
            <v>OEM</v>
          </cell>
        </row>
        <row r="31">
          <cell r="B31" t="str">
            <v>SP-19321</v>
          </cell>
          <cell r="D31">
            <v>1</v>
          </cell>
          <cell r="E31" t="str">
            <v>WELDMENT</v>
          </cell>
        </row>
        <row r="32">
          <cell r="B32" t="str">
            <v>SP-19378</v>
          </cell>
          <cell r="C32" t="str">
            <v>MESH GUARD</v>
          </cell>
          <cell r="D32">
            <v>1</v>
          </cell>
          <cell r="E32" t="str">
            <v>WELDMENT</v>
          </cell>
        </row>
        <row r="33">
          <cell r="B33" t="str">
            <v>CF 1 1-2</v>
          </cell>
          <cell r="D33">
            <v>2</v>
          </cell>
          <cell r="E33" t="str">
            <v>OEM</v>
          </cell>
        </row>
        <row r="34">
          <cell r="B34" t="str">
            <v>SP-19255</v>
          </cell>
          <cell r="C34" t="str">
            <v>FRONT DOOR ASSEMBLY</v>
          </cell>
          <cell r="D34">
            <v>1</v>
          </cell>
          <cell r="E34" t="str">
            <v>ASSEMBLY</v>
          </cell>
        </row>
        <row r="35">
          <cell r="B35" t="str">
            <v>90165A520</v>
          </cell>
          <cell r="D35">
            <v>4</v>
          </cell>
          <cell r="E35" t="str">
            <v>OEM</v>
          </cell>
        </row>
        <row r="36">
          <cell r="B36" t="str">
            <v>SP-19277</v>
          </cell>
          <cell r="C36" t="str">
            <v>SIDE COVER PLATE</v>
          </cell>
          <cell r="D36">
            <v>1</v>
          </cell>
          <cell r="E36" t="str">
            <v>SHEET</v>
          </cell>
        </row>
        <row r="37">
          <cell r="B37" t="str">
            <v>SP-19296</v>
          </cell>
          <cell r="C37" t="str">
            <v>SUPPORT PLATE</v>
          </cell>
          <cell r="D37">
            <v>1</v>
          </cell>
          <cell r="E37" t="str">
            <v>SHEET</v>
          </cell>
        </row>
        <row r="38">
          <cell r="B38" t="str">
            <v>SP-19328</v>
          </cell>
          <cell r="C38" t="str">
            <v>RIGHT SIDE COVER PLATE</v>
          </cell>
          <cell r="D38">
            <v>1</v>
          </cell>
          <cell r="E38" t="str">
            <v>SHEET</v>
          </cell>
        </row>
        <row r="39">
          <cell r="B39" t="str">
            <v>UCP 205-16</v>
          </cell>
          <cell r="C39" t="str">
            <v>BEARING</v>
          </cell>
          <cell r="D39">
            <v>2</v>
          </cell>
          <cell r="E39" t="str">
            <v>OEM</v>
          </cell>
        </row>
        <row r="40">
          <cell r="B40" t="str">
            <v>98935A471</v>
          </cell>
          <cell r="D40">
            <v>1</v>
          </cell>
          <cell r="E40" t="str">
            <v>OEM</v>
          </cell>
        </row>
        <row r="41">
          <cell r="B41" t="str">
            <v>6022K34</v>
          </cell>
          <cell r="C41" t="str">
            <v>Hand Wheel</v>
          </cell>
          <cell r="D41">
            <v>1</v>
          </cell>
          <cell r="E41" t="str">
            <v>OEM</v>
          </cell>
        </row>
        <row r="42">
          <cell r="B42" t="str">
            <v>SP-18106</v>
          </cell>
          <cell r="C42" t="str">
            <v>LOCK PLATE</v>
          </cell>
          <cell r="D42">
            <v>2</v>
          </cell>
          <cell r="E42" t="str">
            <v>OEM</v>
          </cell>
        </row>
        <row r="43">
          <cell r="B43" t="str">
            <v>SP-19338</v>
          </cell>
          <cell r="C43" t="str">
            <v>TENSIONER ASSEMBLY</v>
          </cell>
          <cell r="D43">
            <v>2</v>
          </cell>
          <cell r="E43" t="str">
            <v>ASSEMBLY</v>
          </cell>
        </row>
        <row r="44">
          <cell r="B44" t="str">
            <v>SP-18933</v>
          </cell>
          <cell r="C44" t="str">
            <v>12 INCH CUTTER HEAD</v>
          </cell>
          <cell r="D44">
            <v>1</v>
          </cell>
          <cell r="E44" t="str">
            <v>ASSEMBLY</v>
          </cell>
        </row>
        <row r="45">
          <cell r="B45" t="str">
            <v>SP-19767</v>
          </cell>
          <cell r="C45" t="str">
            <v>BLADE MOUNTING WELDMENT</v>
          </cell>
          <cell r="D45">
            <v>1</v>
          </cell>
          <cell r="E45" t="str">
            <v>WELDMENT</v>
          </cell>
        </row>
        <row r="46">
          <cell r="B46" t="str">
            <v>SP-19796</v>
          </cell>
          <cell r="C46" t="str">
            <v>CHUTE COVER</v>
          </cell>
          <cell r="D46">
            <v>1</v>
          </cell>
          <cell r="E46" t="str">
            <v>WELDMENT</v>
          </cell>
        </row>
        <row r="47">
          <cell r="B47" t="str">
            <v>91257A722</v>
          </cell>
          <cell r="D47">
            <v>4</v>
          </cell>
          <cell r="E47" t="str">
            <v>OEM</v>
          </cell>
        </row>
        <row r="48">
          <cell r="B48" t="str">
            <v>SP-19098</v>
          </cell>
          <cell r="C48" t="str">
            <v>SPACER</v>
          </cell>
          <cell r="D48">
            <v>4</v>
          </cell>
          <cell r="E48" t="str">
            <v>ROUND PART</v>
          </cell>
        </row>
        <row r="49">
          <cell r="B49" t="str">
            <v>Hex Nut - Inch 1_2 - 13</v>
          </cell>
          <cell r="D49">
            <v>2</v>
          </cell>
          <cell r="E49" t="str">
            <v>OEM</v>
          </cell>
        </row>
        <row r="50">
          <cell r="B50" t="str">
            <v>UGA040-0400-
0C1G00-1</v>
          </cell>
          <cell r="D50">
            <v>12</v>
          </cell>
          <cell r="E50" t="str">
            <v>OEM</v>
          </cell>
        </row>
        <row r="51">
          <cell r="B51" t="str">
            <v>SP-19256</v>
          </cell>
          <cell r="C51" t="str">
            <v>MOUNTIG PLATE</v>
          </cell>
          <cell r="D51">
            <v>4</v>
          </cell>
          <cell r="E51" t="str">
            <v>SHEET</v>
          </cell>
        </row>
        <row r="52">
          <cell r="B52" t="str">
            <v>SP-19296</v>
          </cell>
          <cell r="C52" t="str">
            <v>SUPPORT PLATE</v>
          </cell>
          <cell r="D52">
            <v>1</v>
          </cell>
          <cell r="E52" t="str">
            <v>SHEET</v>
          </cell>
        </row>
        <row r="53">
          <cell r="B53" t="str">
            <v>SP-19127</v>
          </cell>
          <cell r="C53" t="str">
            <v>MESH GUARD</v>
          </cell>
          <cell r="D53">
            <v>1</v>
          </cell>
          <cell r="E53" t="str">
            <v>WELDMENT</v>
          </cell>
        </row>
        <row r="54">
          <cell r="B54" t="str">
            <v>DOOR HANDLE 
ASSEMBLY</v>
          </cell>
          <cell r="C54" t="str">
            <v>DOOR HANDLE ASSEMBLY</v>
          </cell>
          <cell r="D54">
            <v>4</v>
          </cell>
          <cell r="E54" t="str">
            <v>ASSEMBLY</v>
          </cell>
        </row>
        <row r="55">
          <cell r="B55" t="str">
            <v>SP-19771</v>
          </cell>
          <cell r="C55" t="str">
            <v>SPACER</v>
          </cell>
          <cell r="D55">
            <v>4</v>
          </cell>
          <cell r="E55" t="str">
            <v>SHEET</v>
          </cell>
        </row>
        <row r="56">
          <cell r="B56" t="str">
            <v>6330K29</v>
          </cell>
          <cell r="D56">
            <v>6</v>
          </cell>
          <cell r="E56" t="str">
            <v>OEM</v>
          </cell>
        </row>
        <row r="57">
          <cell r="B57" t="str">
            <v>62215K58</v>
          </cell>
          <cell r="D57">
            <v>4</v>
          </cell>
          <cell r="E57" t="str">
            <v>OEM</v>
          </cell>
        </row>
        <row r="58">
          <cell r="B58" t="str">
            <v>SP-20382</v>
          </cell>
          <cell r="C58" t="str">
            <v>WELDMENT</v>
          </cell>
          <cell r="D58">
            <v>1</v>
          </cell>
          <cell r="E58" t="str">
            <v>WELDMENT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6DEF-BBFE-4B55-8E7D-8BEDAAE95614}">
  <sheetPr codeName="Sheet22"/>
  <dimension ref="A1:K77"/>
  <sheetViews>
    <sheetView topLeftCell="A59" workbookViewId="0">
      <selection activeCell="K19" sqref="K19"/>
    </sheetView>
  </sheetViews>
  <sheetFormatPr defaultRowHeight="14.4" x14ac:dyDescent="0.3"/>
  <cols>
    <col min="1" max="1" width="21.6640625" customWidth="1"/>
    <col min="2" max="3" width="14" customWidth="1"/>
    <col min="4" max="4" width="16.88671875" customWidth="1"/>
    <col min="5" max="5" width="20.88671875" customWidth="1"/>
    <col min="6" max="6" width="27.33203125" customWidth="1"/>
    <col min="8" max="8" width="17.44140625" customWidth="1"/>
    <col min="9" max="9" width="18.77734375" customWidth="1"/>
    <col min="10" max="10" width="11.44140625" customWidth="1"/>
    <col min="11" max="11" width="16.6640625" customWidth="1"/>
  </cols>
  <sheetData>
    <row r="1" spans="1:11" ht="45" customHeight="1" x14ac:dyDescent="0.3">
      <c r="A1" s="15" t="s">
        <v>5</v>
      </c>
      <c r="B1" s="15" t="s">
        <v>7</v>
      </c>
      <c r="C1" s="24"/>
      <c r="D1" s="15" t="s">
        <v>1</v>
      </c>
      <c r="E1" s="15" t="s">
        <v>2</v>
      </c>
      <c r="F1" s="15" t="s">
        <v>3</v>
      </c>
      <c r="G1" s="15" t="s">
        <v>4</v>
      </c>
      <c r="H1" s="15" t="s">
        <v>5</v>
      </c>
      <c r="I1" s="15" t="s">
        <v>6</v>
      </c>
      <c r="J1" s="15" t="s">
        <v>7</v>
      </c>
      <c r="K1" s="16" t="s">
        <v>398</v>
      </c>
    </row>
    <row r="2" spans="1:11" ht="17.399999999999999" x14ac:dyDescent="0.3">
      <c r="A2" s="25" t="s">
        <v>93</v>
      </c>
      <c r="B2" s="25"/>
      <c r="C2" s="24"/>
      <c r="D2" s="17">
        <v>49</v>
      </c>
      <c r="E2" s="17" t="s">
        <v>91</v>
      </c>
      <c r="F2" s="17" t="s">
        <v>92</v>
      </c>
      <c r="G2" s="17">
        <v>2</v>
      </c>
      <c r="H2" s="17" t="s">
        <v>93</v>
      </c>
      <c r="I2" s="17" t="s">
        <v>10</v>
      </c>
      <c r="J2" s="17" t="s">
        <v>11</v>
      </c>
      <c r="K2" s="17">
        <v>2</v>
      </c>
    </row>
    <row r="3" spans="1:11" ht="15" x14ac:dyDescent="0.3">
      <c r="D3" s="2">
        <v>1</v>
      </c>
      <c r="E3" s="2" t="s">
        <v>111</v>
      </c>
      <c r="F3" s="2" t="s">
        <v>93</v>
      </c>
      <c r="G3" s="2">
        <v>2</v>
      </c>
      <c r="H3" s="2" t="s">
        <v>93</v>
      </c>
      <c r="I3" s="2" t="s">
        <v>10</v>
      </c>
      <c r="J3" s="9" t="s">
        <v>11</v>
      </c>
      <c r="K3" s="10">
        <v>4</v>
      </c>
    </row>
    <row r="4" spans="1:11" ht="15" x14ac:dyDescent="0.3">
      <c r="D4" s="2">
        <v>5.0999999999999996</v>
      </c>
      <c r="E4" s="2" t="s">
        <v>117</v>
      </c>
      <c r="F4" s="2" t="s">
        <v>93</v>
      </c>
      <c r="G4" s="2">
        <v>1</v>
      </c>
      <c r="H4" s="2" t="s">
        <v>93</v>
      </c>
      <c r="I4" s="2" t="s">
        <v>10</v>
      </c>
      <c r="J4" s="9" t="s">
        <v>11</v>
      </c>
      <c r="K4" s="10">
        <v>4</v>
      </c>
    </row>
    <row r="5" spans="1:11" ht="15" x14ac:dyDescent="0.3">
      <c r="D5" s="2">
        <v>5.2</v>
      </c>
      <c r="E5" s="2" t="s">
        <v>118</v>
      </c>
      <c r="F5" s="2" t="s">
        <v>93</v>
      </c>
      <c r="G5" s="2">
        <v>2</v>
      </c>
      <c r="H5" s="2" t="s">
        <v>93</v>
      </c>
      <c r="I5" s="2" t="s">
        <v>10</v>
      </c>
      <c r="J5" s="9" t="s">
        <v>11</v>
      </c>
      <c r="K5" s="10">
        <v>8</v>
      </c>
    </row>
    <row r="6" spans="1:11" ht="15" x14ac:dyDescent="0.3">
      <c r="D6" s="7" t="s">
        <v>133</v>
      </c>
      <c r="E6" s="2" t="s">
        <v>134</v>
      </c>
      <c r="F6" s="2" t="s">
        <v>93</v>
      </c>
      <c r="G6" s="2">
        <v>1</v>
      </c>
      <c r="H6" s="2" t="s">
        <v>93</v>
      </c>
      <c r="I6" s="2" t="s">
        <v>10</v>
      </c>
      <c r="J6" s="9" t="s">
        <v>11</v>
      </c>
      <c r="K6" s="10" t="s">
        <v>399</v>
      </c>
    </row>
    <row r="7" spans="1:11" ht="15" x14ac:dyDescent="0.3">
      <c r="D7" s="7" t="s">
        <v>135</v>
      </c>
      <c r="E7" s="2" t="s">
        <v>136</v>
      </c>
      <c r="F7" s="2" t="s">
        <v>93</v>
      </c>
      <c r="G7" s="2">
        <v>1</v>
      </c>
      <c r="H7" s="2" t="s">
        <v>93</v>
      </c>
      <c r="I7" s="2" t="s">
        <v>10</v>
      </c>
      <c r="J7" s="9" t="s">
        <v>11</v>
      </c>
      <c r="K7" s="10" t="s">
        <v>399</v>
      </c>
    </row>
    <row r="8" spans="1:11" ht="15" x14ac:dyDescent="0.3">
      <c r="D8" s="7" t="s">
        <v>137</v>
      </c>
      <c r="E8" s="2" t="s">
        <v>138</v>
      </c>
      <c r="F8" s="2" t="s">
        <v>93</v>
      </c>
      <c r="G8" s="2">
        <v>1</v>
      </c>
      <c r="H8" s="2" t="s">
        <v>93</v>
      </c>
      <c r="I8" s="2" t="s">
        <v>10</v>
      </c>
      <c r="J8" s="9" t="s">
        <v>11</v>
      </c>
      <c r="K8" s="10" t="s">
        <v>399</v>
      </c>
    </row>
    <row r="9" spans="1:11" ht="15" x14ac:dyDescent="0.3">
      <c r="D9" s="7" t="s">
        <v>142</v>
      </c>
      <c r="E9" s="2" t="s">
        <v>143</v>
      </c>
      <c r="F9" s="2" t="s">
        <v>93</v>
      </c>
      <c r="G9" s="2">
        <v>1</v>
      </c>
      <c r="H9" s="2" t="s">
        <v>93</v>
      </c>
      <c r="I9" s="2" t="s">
        <v>10</v>
      </c>
      <c r="J9" s="9" t="s">
        <v>11</v>
      </c>
      <c r="K9" s="10" t="s">
        <v>399</v>
      </c>
    </row>
    <row r="10" spans="1:11" ht="15" x14ac:dyDescent="0.3">
      <c r="D10" s="7" t="s">
        <v>144</v>
      </c>
      <c r="E10" s="2" t="s">
        <v>145</v>
      </c>
      <c r="F10" s="2" t="s">
        <v>93</v>
      </c>
      <c r="G10" s="2">
        <v>1</v>
      </c>
      <c r="H10" s="2" t="s">
        <v>93</v>
      </c>
      <c r="I10" s="2" t="s">
        <v>10</v>
      </c>
      <c r="J10" s="9" t="s">
        <v>11</v>
      </c>
      <c r="K10" s="10" t="s">
        <v>399</v>
      </c>
    </row>
    <row r="11" spans="1:11" ht="15" x14ac:dyDescent="0.3">
      <c r="D11" s="7" t="s">
        <v>146</v>
      </c>
      <c r="E11" s="2" t="s">
        <v>147</v>
      </c>
      <c r="F11" s="2" t="s">
        <v>93</v>
      </c>
      <c r="G11" s="2">
        <v>1</v>
      </c>
      <c r="H11" s="2" t="s">
        <v>93</v>
      </c>
      <c r="I11" s="2" t="s">
        <v>10</v>
      </c>
      <c r="J11" s="9" t="s">
        <v>11</v>
      </c>
      <c r="K11" s="10" t="s">
        <v>399</v>
      </c>
    </row>
    <row r="12" spans="1:11" ht="15" x14ac:dyDescent="0.3">
      <c r="D12" s="7" t="s">
        <v>148</v>
      </c>
      <c r="E12" s="2" t="s">
        <v>149</v>
      </c>
      <c r="F12" s="2" t="s">
        <v>93</v>
      </c>
      <c r="G12" s="2">
        <v>1</v>
      </c>
      <c r="H12" s="2" t="s">
        <v>93</v>
      </c>
      <c r="I12" s="2" t="s">
        <v>10</v>
      </c>
      <c r="J12" s="9" t="s">
        <v>11</v>
      </c>
      <c r="K12" s="10" t="s">
        <v>399</v>
      </c>
    </row>
    <row r="13" spans="1:11" ht="15" x14ac:dyDescent="0.3">
      <c r="D13" s="7" t="s">
        <v>154</v>
      </c>
      <c r="E13" s="2" t="s">
        <v>155</v>
      </c>
      <c r="F13" s="2" t="s">
        <v>93</v>
      </c>
      <c r="G13" s="2">
        <v>1</v>
      </c>
      <c r="H13" s="2" t="s">
        <v>93</v>
      </c>
      <c r="I13" s="2" t="s">
        <v>10</v>
      </c>
      <c r="J13" s="9" t="s">
        <v>11</v>
      </c>
      <c r="K13" s="10" t="s">
        <v>399</v>
      </c>
    </row>
    <row r="14" spans="1:11" ht="15" x14ac:dyDescent="0.3">
      <c r="D14" s="2">
        <v>10.1</v>
      </c>
      <c r="E14" s="2" t="s">
        <v>165</v>
      </c>
      <c r="F14" s="2" t="s">
        <v>93</v>
      </c>
      <c r="G14" s="2">
        <v>1</v>
      </c>
      <c r="H14" s="2" t="s">
        <v>93</v>
      </c>
      <c r="I14" s="2" t="s">
        <v>10</v>
      </c>
      <c r="J14" s="9" t="s">
        <v>11</v>
      </c>
      <c r="K14" s="10">
        <v>2</v>
      </c>
    </row>
    <row r="15" spans="1:11" ht="15" x14ac:dyDescent="0.3">
      <c r="D15" s="2">
        <v>13</v>
      </c>
      <c r="E15" s="2" t="s">
        <v>171</v>
      </c>
      <c r="F15" s="2" t="s">
        <v>93</v>
      </c>
      <c r="G15" s="2">
        <v>1</v>
      </c>
      <c r="H15" s="2" t="s">
        <v>93</v>
      </c>
      <c r="I15" s="2" t="s">
        <v>10</v>
      </c>
      <c r="J15" s="9" t="s">
        <v>11</v>
      </c>
      <c r="K15" s="10">
        <v>2</v>
      </c>
    </row>
    <row r="16" spans="1:11" ht="15" x14ac:dyDescent="0.3">
      <c r="D16" s="2">
        <v>16</v>
      </c>
      <c r="E16" s="2" t="s">
        <v>175</v>
      </c>
      <c r="F16" s="2" t="s">
        <v>176</v>
      </c>
      <c r="G16" s="2">
        <v>2</v>
      </c>
      <c r="H16" s="2" t="s">
        <v>93</v>
      </c>
      <c r="I16" s="2" t="s">
        <v>10</v>
      </c>
      <c r="J16" s="9" t="s">
        <v>11</v>
      </c>
      <c r="K16" s="10">
        <v>4</v>
      </c>
    </row>
    <row r="17" spans="4:11" ht="15" x14ac:dyDescent="0.3">
      <c r="D17" s="2">
        <v>17.100000000000001</v>
      </c>
      <c r="E17" s="2" t="s">
        <v>178</v>
      </c>
      <c r="F17" s="2" t="s">
        <v>93</v>
      </c>
      <c r="G17" s="2">
        <v>1</v>
      </c>
      <c r="H17" s="2" t="s">
        <v>93</v>
      </c>
      <c r="I17" s="2" t="s">
        <v>10</v>
      </c>
      <c r="J17" s="9" t="s">
        <v>11</v>
      </c>
      <c r="K17" s="10">
        <v>2</v>
      </c>
    </row>
    <row r="18" spans="4:11" ht="15" x14ac:dyDescent="0.3">
      <c r="D18" s="2">
        <v>18.100000000000001</v>
      </c>
      <c r="E18" s="2" t="s">
        <v>180</v>
      </c>
      <c r="F18" s="2" t="s">
        <v>93</v>
      </c>
      <c r="G18" s="2">
        <v>1</v>
      </c>
      <c r="H18" s="2" t="s">
        <v>93</v>
      </c>
      <c r="I18" s="2" t="s">
        <v>10</v>
      </c>
      <c r="J18" s="9" t="s">
        <v>11</v>
      </c>
      <c r="K18" s="10">
        <v>4</v>
      </c>
    </row>
    <row r="19" spans="4:11" ht="15" x14ac:dyDescent="0.3">
      <c r="D19" s="2">
        <v>19</v>
      </c>
      <c r="E19" s="2" t="s">
        <v>181</v>
      </c>
      <c r="F19" s="2" t="s">
        <v>93</v>
      </c>
      <c r="G19" s="2">
        <v>2</v>
      </c>
      <c r="H19" s="2" t="s">
        <v>93</v>
      </c>
      <c r="I19" s="2" t="s">
        <v>10</v>
      </c>
      <c r="J19" s="9" t="s">
        <v>11</v>
      </c>
      <c r="K19" s="10">
        <v>4</v>
      </c>
    </row>
    <row r="20" spans="4:11" ht="15" x14ac:dyDescent="0.3">
      <c r="D20" s="2">
        <v>20.100000000000001</v>
      </c>
      <c r="E20" s="2" t="s">
        <v>183</v>
      </c>
      <c r="F20" s="2" t="s">
        <v>93</v>
      </c>
      <c r="G20" s="2">
        <v>1</v>
      </c>
      <c r="H20" s="2" t="s">
        <v>93</v>
      </c>
      <c r="I20" s="2" t="s">
        <v>10</v>
      </c>
      <c r="J20" s="9" t="s">
        <v>11</v>
      </c>
      <c r="K20" s="10">
        <v>2</v>
      </c>
    </row>
    <row r="21" spans="4:11" ht="15" x14ac:dyDescent="0.3">
      <c r="D21" s="2">
        <v>20.2</v>
      </c>
      <c r="E21" s="2" t="s">
        <v>184</v>
      </c>
      <c r="F21" s="2" t="s">
        <v>93</v>
      </c>
      <c r="G21" s="2">
        <v>1</v>
      </c>
      <c r="H21" s="2" t="s">
        <v>93</v>
      </c>
      <c r="I21" s="2" t="s">
        <v>10</v>
      </c>
      <c r="J21" s="9" t="s">
        <v>11</v>
      </c>
      <c r="K21" s="10">
        <v>2</v>
      </c>
    </row>
    <row r="22" spans="4:11" ht="15" x14ac:dyDescent="0.3">
      <c r="D22" s="2">
        <v>20.3</v>
      </c>
      <c r="E22" s="2" t="s">
        <v>185</v>
      </c>
      <c r="F22" s="2" t="s">
        <v>93</v>
      </c>
      <c r="G22" s="2">
        <v>1</v>
      </c>
      <c r="H22" s="2" t="s">
        <v>93</v>
      </c>
      <c r="I22" s="2" t="s">
        <v>10</v>
      </c>
      <c r="J22" s="9" t="s">
        <v>11</v>
      </c>
      <c r="K22" s="10">
        <v>2</v>
      </c>
    </row>
    <row r="23" spans="4:11" ht="15" x14ac:dyDescent="0.3">
      <c r="D23" s="2">
        <v>21.1</v>
      </c>
      <c r="E23" s="2" t="s">
        <v>187</v>
      </c>
      <c r="F23" s="2" t="s">
        <v>93</v>
      </c>
      <c r="G23" s="2">
        <v>1</v>
      </c>
      <c r="H23" s="2" t="s">
        <v>93</v>
      </c>
      <c r="I23" s="2" t="s">
        <v>10</v>
      </c>
      <c r="J23" s="9" t="s">
        <v>11</v>
      </c>
      <c r="K23" s="10">
        <v>2</v>
      </c>
    </row>
    <row r="24" spans="4:11" ht="15" x14ac:dyDescent="0.3">
      <c r="D24" s="2">
        <v>21.2</v>
      </c>
      <c r="E24" s="2" t="s">
        <v>118</v>
      </c>
      <c r="F24" s="2" t="s">
        <v>93</v>
      </c>
      <c r="G24" s="2">
        <v>2</v>
      </c>
      <c r="H24" s="2" t="s">
        <v>93</v>
      </c>
      <c r="I24" s="2" t="s">
        <v>10</v>
      </c>
      <c r="J24" s="9" t="s">
        <v>11</v>
      </c>
      <c r="K24" s="10">
        <v>4</v>
      </c>
    </row>
    <row r="25" spans="4:11" ht="15" x14ac:dyDescent="0.3">
      <c r="D25" s="2">
        <v>25.1</v>
      </c>
      <c r="E25" s="2" t="s">
        <v>196</v>
      </c>
      <c r="F25" s="2" t="s">
        <v>197</v>
      </c>
      <c r="G25" s="2">
        <v>1</v>
      </c>
      <c r="H25" s="2" t="s">
        <v>93</v>
      </c>
      <c r="I25" s="2" t="s">
        <v>10</v>
      </c>
      <c r="J25" s="9" t="s">
        <v>11</v>
      </c>
      <c r="K25" s="10">
        <v>2</v>
      </c>
    </row>
    <row r="26" spans="4:11" ht="15" x14ac:dyDescent="0.3">
      <c r="D26" s="2">
        <v>25.1</v>
      </c>
      <c r="E26" s="2" t="s">
        <v>198</v>
      </c>
      <c r="F26" s="2" t="s">
        <v>197</v>
      </c>
      <c r="G26" s="2">
        <v>1</v>
      </c>
      <c r="H26" s="2" t="s">
        <v>93</v>
      </c>
      <c r="I26" s="2" t="s">
        <v>10</v>
      </c>
      <c r="J26" s="9" t="s">
        <v>11</v>
      </c>
      <c r="K26" s="10">
        <v>2</v>
      </c>
    </row>
    <row r="27" spans="4:11" ht="15" x14ac:dyDescent="0.3">
      <c r="D27" s="2">
        <v>26.1</v>
      </c>
      <c r="E27" s="2" t="s">
        <v>196</v>
      </c>
      <c r="F27" s="2" t="s">
        <v>197</v>
      </c>
      <c r="G27" s="2">
        <v>1</v>
      </c>
      <c r="H27" s="2" t="s">
        <v>93</v>
      </c>
      <c r="I27" s="2" t="s">
        <v>10</v>
      </c>
      <c r="J27" s="9" t="s">
        <v>11</v>
      </c>
      <c r="K27" s="10">
        <v>2</v>
      </c>
    </row>
    <row r="28" spans="4:11" ht="15" x14ac:dyDescent="0.3">
      <c r="D28" s="2">
        <v>26.1</v>
      </c>
      <c r="E28" s="2" t="s">
        <v>198</v>
      </c>
      <c r="F28" s="2" t="s">
        <v>197</v>
      </c>
      <c r="G28" s="2">
        <v>1</v>
      </c>
      <c r="H28" s="2" t="s">
        <v>93</v>
      </c>
      <c r="I28" s="2" t="s">
        <v>10</v>
      </c>
      <c r="J28" s="9" t="s">
        <v>11</v>
      </c>
      <c r="K28" s="10">
        <v>2</v>
      </c>
    </row>
    <row r="29" spans="4:11" ht="15" x14ac:dyDescent="0.3">
      <c r="D29" s="2">
        <v>27</v>
      </c>
      <c r="E29" s="2" t="s">
        <v>200</v>
      </c>
      <c r="F29" s="2" t="s">
        <v>93</v>
      </c>
      <c r="G29" s="2">
        <v>2</v>
      </c>
      <c r="H29" s="2" t="s">
        <v>93</v>
      </c>
      <c r="I29" s="2" t="s">
        <v>10</v>
      </c>
      <c r="J29" s="9" t="s">
        <v>11</v>
      </c>
      <c r="K29" s="10">
        <v>4</v>
      </c>
    </row>
    <row r="30" spans="4:11" ht="15" x14ac:dyDescent="0.3">
      <c r="D30" s="2">
        <v>28</v>
      </c>
      <c r="E30" s="2" t="s">
        <v>201</v>
      </c>
      <c r="F30" s="2" t="s">
        <v>93</v>
      </c>
      <c r="G30" s="2">
        <v>2</v>
      </c>
      <c r="H30" s="2" t="s">
        <v>93</v>
      </c>
      <c r="I30" s="2" t="s">
        <v>10</v>
      </c>
      <c r="J30" s="9" t="s">
        <v>11</v>
      </c>
      <c r="K30" s="10">
        <v>4</v>
      </c>
    </row>
    <row r="31" spans="4:11" ht="15" x14ac:dyDescent="0.3">
      <c r="D31" s="2">
        <v>35</v>
      </c>
      <c r="E31" s="2" t="s">
        <v>211</v>
      </c>
      <c r="F31" s="2" t="s">
        <v>212</v>
      </c>
      <c r="G31" s="2">
        <v>12</v>
      </c>
      <c r="H31" s="2" t="s">
        <v>93</v>
      </c>
      <c r="I31" s="2" t="s">
        <v>10</v>
      </c>
      <c r="J31" s="9" t="s">
        <v>11</v>
      </c>
      <c r="K31" s="10">
        <v>24</v>
      </c>
    </row>
    <row r="32" spans="4:11" ht="15" x14ac:dyDescent="0.3">
      <c r="D32" s="2">
        <v>37</v>
      </c>
      <c r="E32" s="2" t="s">
        <v>214</v>
      </c>
      <c r="F32" s="2" t="s">
        <v>93</v>
      </c>
      <c r="G32" s="2">
        <v>1</v>
      </c>
      <c r="H32" s="2" t="s">
        <v>93</v>
      </c>
      <c r="I32" s="2" t="s">
        <v>10</v>
      </c>
      <c r="J32" s="9" t="s">
        <v>11</v>
      </c>
      <c r="K32" s="10">
        <v>2</v>
      </c>
    </row>
    <row r="33" spans="4:11" ht="15" x14ac:dyDescent="0.3">
      <c r="D33" s="2">
        <v>40</v>
      </c>
      <c r="E33" s="2" t="s">
        <v>219</v>
      </c>
      <c r="F33" s="2" t="s">
        <v>197</v>
      </c>
      <c r="G33" s="2">
        <v>6</v>
      </c>
      <c r="H33" s="2" t="s">
        <v>93</v>
      </c>
      <c r="I33" s="2" t="s">
        <v>10</v>
      </c>
      <c r="J33" s="9" t="s">
        <v>11</v>
      </c>
      <c r="K33" s="10">
        <v>12</v>
      </c>
    </row>
    <row r="34" spans="4:11" ht="15" x14ac:dyDescent="0.3">
      <c r="D34" s="2">
        <v>1</v>
      </c>
      <c r="E34" s="2" t="s">
        <v>222</v>
      </c>
      <c r="F34" s="2" t="s">
        <v>197</v>
      </c>
      <c r="G34" s="2">
        <v>1</v>
      </c>
      <c r="H34" s="2" t="s">
        <v>93</v>
      </c>
      <c r="I34" s="2" t="s">
        <v>10</v>
      </c>
      <c r="J34" s="9" t="s">
        <v>11</v>
      </c>
      <c r="K34" s="10">
        <v>1</v>
      </c>
    </row>
    <row r="35" spans="4:11" ht="15" x14ac:dyDescent="0.3">
      <c r="D35" s="2">
        <v>3</v>
      </c>
      <c r="E35" s="2" t="s">
        <v>262</v>
      </c>
      <c r="F35" s="2" t="s">
        <v>256</v>
      </c>
      <c r="G35" s="2">
        <v>1</v>
      </c>
      <c r="H35" s="2" t="s">
        <v>93</v>
      </c>
      <c r="I35" s="2" t="s">
        <v>10</v>
      </c>
      <c r="J35" s="9" t="s">
        <v>11</v>
      </c>
      <c r="K35" s="10">
        <v>1</v>
      </c>
    </row>
    <row r="36" spans="4:11" ht="15" x14ac:dyDescent="0.3">
      <c r="D36" s="2">
        <v>4</v>
      </c>
      <c r="E36" s="2" t="s">
        <v>263</v>
      </c>
      <c r="F36" s="2" t="s">
        <v>264</v>
      </c>
      <c r="G36" s="2">
        <v>2</v>
      </c>
      <c r="H36" s="2" t="s">
        <v>93</v>
      </c>
      <c r="I36" s="2" t="s">
        <v>10</v>
      </c>
      <c r="J36" s="9" t="s">
        <v>11</v>
      </c>
      <c r="K36" s="10">
        <v>2</v>
      </c>
    </row>
    <row r="37" spans="4:11" ht="15" x14ac:dyDescent="0.3">
      <c r="D37" s="2">
        <v>5</v>
      </c>
      <c r="E37" s="2" t="s">
        <v>275</v>
      </c>
      <c r="F37" s="2" t="s">
        <v>93</v>
      </c>
      <c r="G37" s="2">
        <v>1</v>
      </c>
      <c r="H37" s="2" t="s">
        <v>93</v>
      </c>
      <c r="I37" s="2" t="s">
        <v>10</v>
      </c>
      <c r="J37" s="9" t="s">
        <v>11</v>
      </c>
      <c r="K37" s="10">
        <v>1</v>
      </c>
    </row>
    <row r="38" spans="4:11" ht="15" x14ac:dyDescent="0.3">
      <c r="D38" s="2">
        <v>6</v>
      </c>
      <c r="E38" s="2" t="s">
        <v>276</v>
      </c>
      <c r="F38" s="2" t="s">
        <v>93</v>
      </c>
      <c r="G38" s="2">
        <v>1</v>
      </c>
      <c r="H38" s="2" t="s">
        <v>93</v>
      </c>
      <c r="I38" s="2" t="s">
        <v>10</v>
      </c>
      <c r="J38" s="9" t="s">
        <v>11</v>
      </c>
      <c r="K38" s="10">
        <v>1</v>
      </c>
    </row>
    <row r="39" spans="4:11" ht="15" x14ac:dyDescent="0.3">
      <c r="D39" s="2">
        <v>9</v>
      </c>
      <c r="E39" s="2" t="s">
        <v>279</v>
      </c>
      <c r="F39" s="2" t="s">
        <v>280</v>
      </c>
      <c r="G39" s="2">
        <v>1</v>
      </c>
      <c r="H39" s="2" t="s">
        <v>93</v>
      </c>
      <c r="I39" s="2" t="s">
        <v>10</v>
      </c>
      <c r="J39" s="9" t="s">
        <v>11</v>
      </c>
      <c r="K39" s="10">
        <v>1</v>
      </c>
    </row>
    <row r="40" spans="4:11" ht="15" x14ac:dyDescent="0.3">
      <c r="D40" s="2">
        <v>15</v>
      </c>
      <c r="E40" s="2" t="s">
        <v>287</v>
      </c>
      <c r="F40" s="2" t="s">
        <v>93</v>
      </c>
      <c r="G40" s="2">
        <v>2</v>
      </c>
      <c r="H40" s="2" t="s">
        <v>93</v>
      </c>
      <c r="I40" s="2" t="s">
        <v>10</v>
      </c>
      <c r="J40" s="9" t="s">
        <v>11</v>
      </c>
      <c r="K40" s="10">
        <v>2</v>
      </c>
    </row>
    <row r="41" spans="4:11" ht="15" x14ac:dyDescent="0.3">
      <c r="D41" s="2">
        <v>16</v>
      </c>
      <c r="E41" s="2" t="s">
        <v>288</v>
      </c>
      <c r="F41" s="2" t="s">
        <v>93</v>
      </c>
      <c r="G41" s="2">
        <v>4</v>
      </c>
      <c r="H41" s="2" t="s">
        <v>93</v>
      </c>
      <c r="I41" s="2" t="s">
        <v>10</v>
      </c>
      <c r="J41" s="9" t="s">
        <v>11</v>
      </c>
      <c r="K41" s="10">
        <v>4</v>
      </c>
    </row>
    <row r="42" spans="4:11" ht="15" x14ac:dyDescent="0.3">
      <c r="D42" s="2">
        <v>22</v>
      </c>
      <c r="E42" s="2" t="s">
        <v>295</v>
      </c>
      <c r="F42" s="2" t="s">
        <v>93</v>
      </c>
      <c r="G42" s="2">
        <v>2</v>
      </c>
      <c r="H42" s="2" t="s">
        <v>93</v>
      </c>
      <c r="I42" s="2" t="s">
        <v>10</v>
      </c>
      <c r="J42" s="9" t="s">
        <v>11</v>
      </c>
      <c r="K42" s="10">
        <v>2</v>
      </c>
    </row>
    <row r="43" spans="4:11" ht="15" x14ac:dyDescent="0.3">
      <c r="D43" s="2">
        <v>8</v>
      </c>
      <c r="E43" s="2" t="s">
        <v>298</v>
      </c>
      <c r="F43" s="2" t="s">
        <v>280</v>
      </c>
      <c r="G43" s="2">
        <v>1</v>
      </c>
      <c r="H43" s="2" t="s">
        <v>93</v>
      </c>
      <c r="I43" s="2" t="s">
        <v>10</v>
      </c>
      <c r="J43" s="9" t="s">
        <v>11</v>
      </c>
      <c r="K43" s="10">
        <v>1</v>
      </c>
    </row>
    <row r="44" spans="4:11" ht="15" x14ac:dyDescent="0.3">
      <c r="D44" s="2">
        <v>10</v>
      </c>
      <c r="E44" s="2" t="s">
        <v>299</v>
      </c>
      <c r="F44" s="2" t="s">
        <v>93</v>
      </c>
      <c r="G44" s="2">
        <v>1</v>
      </c>
      <c r="H44" s="2" t="s">
        <v>93</v>
      </c>
      <c r="I44" s="2" t="s">
        <v>10</v>
      </c>
      <c r="J44" s="9" t="s">
        <v>11</v>
      </c>
      <c r="K44" s="10">
        <v>1</v>
      </c>
    </row>
    <row r="45" spans="4:11" ht="15" x14ac:dyDescent="0.3">
      <c r="D45" s="2">
        <v>11</v>
      </c>
      <c r="E45" s="2" t="s">
        <v>300</v>
      </c>
      <c r="F45" s="2" t="s">
        <v>93</v>
      </c>
      <c r="G45" s="2">
        <v>1</v>
      </c>
      <c r="H45" s="2" t="s">
        <v>93</v>
      </c>
      <c r="I45" s="2" t="s">
        <v>10</v>
      </c>
      <c r="J45" s="9" t="s">
        <v>11</v>
      </c>
      <c r="K45" s="10">
        <v>1</v>
      </c>
    </row>
    <row r="46" spans="4:11" ht="15" x14ac:dyDescent="0.3">
      <c r="D46" s="2">
        <v>16</v>
      </c>
      <c r="E46" s="2" t="s">
        <v>303</v>
      </c>
      <c r="F46" s="2" t="s">
        <v>93</v>
      </c>
      <c r="G46" s="2">
        <v>2</v>
      </c>
      <c r="H46" s="2" t="s">
        <v>93</v>
      </c>
      <c r="I46" s="2" t="s">
        <v>10</v>
      </c>
      <c r="J46" s="9" t="s">
        <v>11</v>
      </c>
      <c r="K46" s="10">
        <v>2</v>
      </c>
    </row>
    <row r="47" spans="4:11" ht="15" x14ac:dyDescent="0.3">
      <c r="D47" s="2">
        <v>17</v>
      </c>
      <c r="E47" s="2" t="s">
        <v>304</v>
      </c>
      <c r="F47" s="2" t="s">
        <v>93</v>
      </c>
      <c r="G47" s="2">
        <v>3</v>
      </c>
      <c r="H47" s="2" t="s">
        <v>93</v>
      </c>
      <c r="I47" s="2" t="s">
        <v>10</v>
      </c>
      <c r="J47" s="9" t="s">
        <v>11</v>
      </c>
      <c r="K47" s="10">
        <v>3</v>
      </c>
    </row>
    <row r="48" spans="4:11" ht="15" x14ac:dyDescent="0.3">
      <c r="D48" s="2">
        <v>18</v>
      </c>
      <c r="E48" s="2" t="s">
        <v>305</v>
      </c>
      <c r="F48" s="2" t="s">
        <v>93</v>
      </c>
      <c r="G48" s="2">
        <v>1</v>
      </c>
      <c r="H48" s="2" t="s">
        <v>93</v>
      </c>
      <c r="I48" s="2" t="s">
        <v>10</v>
      </c>
      <c r="J48" s="9" t="s">
        <v>11</v>
      </c>
      <c r="K48" s="10">
        <v>1</v>
      </c>
    </row>
    <row r="49" spans="4:11" ht="15" x14ac:dyDescent="0.3">
      <c r="D49" s="2">
        <v>24</v>
      </c>
      <c r="E49" s="2" t="s">
        <v>306</v>
      </c>
      <c r="F49" s="2" t="s">
        <v>93</v>
      </c>
      <c r="G49" s="2">
        <v>1</v>
      </c>
      <c r="H49" s="2" t="s">
        <v>93</v>
      </c>
      <c r="I49" s="2" t="s">
        <v>10</v>
      </c>
      <c r="J49" s="9" t="s">
        <v>11</v>
      </c>
      <c r="K49" s="10">
        <v>1</v>
      </c>
    </row>
    <row r="50" spans="4:11" ht="15" x14ac:dyDescent="0.3">
      <c r="D50" s="2">
        <v>25</v>
      </c>
      <c r="E50" s="2" t="s">
        <v>295</v>
      </c>
      <c r="F50" s="2" t="s">
        <v>93</v>
      </c>
      <c r="G50" s="2">
        <v>2</v>
      </c>
      <c r="H50" s="2" t="s">
        <v>93</v>
      </c>
      <c r="I50" s="2" t="s">
        <v>10</v>
      </c>
      <c r="J50" s="9" t="s">
        <v>11</v>
      </c>
      <c r="K50" s="10">
        <v>2</v>
      </c>
    </row>
    <row r="51" spans="4:11" ht="15" x14ac:dyDescent="0.3">
      <c r="D51" s="2">
        <v>1.1000000000000001</v>
      </c>
      <c r="E51" s="2" t="s">
        <v>309</v>
      </c>
      <c r="F51" s="2" t="s">
        <v>93</v>
      </c>
      <c r="G51" s="2">
        <v>2</v>
      </c>
      <c r="H51" s="2" t="s">
        <v>93</v>
      </c>
      <c r="I51" s="2" t="s">
        <v>10</v>
      </c>
      <c r="J51" s="9" t="s">
        <v>11</v>
      </c>
      <c r="K51" s="10">
        <v>2</v>
      </c>
    </row>
    <row r="52" spans="4:11" ht="15" x14ac:dyDescent="0.3">
      <c r="D52" s="2">
        <v>1.2</v>
      </c>
      <c r="E52" s="2" t="s">
        <v>310</v>
      </c>
      <c r="F52" s="2" t="s">
        <v>93</v>
      </c>
      <c r="G52" s="2">
        <v>2</v>
      </c>
      <c r="H52" s="2" t="s">
        <v>93</v>
      </c>
      <c r="I52" s="2" t="s">
        <v>10</v>
      </c>
      <c r="J52" s="9" t="s">
        <v>11</v>
      </c>
      <c r="K52" s="10">
        <v>2</v>
      </c>
    </row>
    <row r="53" spans="4:11" ht="15" x14ac:dyDescent="0.3">
      <c r="D53" s="2">
        <v>1.1000000000000001</v>
      </c>
      <c r="E53" s="2" t="s">
        <v>315</v>
      </c>
      <c r="F53" s="2" t="s">
        <v>93</v>
      </c>
      <c r="G53" s="2">
        <v>2</v>
      </c>
      <c r="H53" s="2" t="s">
        <v>93</v>
      </c>
      <c r="I53" s="2" t="s">
        <v>10</v>
      </c>
      <c r="J53" s="9" t="s">
        <v>11</v>
      </c>
      <c r="K53" s="10">
        <v>2</v>
      </c>
    </row>
    <row r="54" spans="4:11" ht="15" x14ac:dyDescent="0.3">
      <c r="D54" s="2">
        <v>1.2</v>
      </c>
      <c r="E54" s="2" t="s">
        <v>316</v>
      </c>
      <c r="F54" s="2" t="s">
        <v>93</v>
      </c>
      <c r="G54" s="2">
        <v>2</v>
      </c>
      <c r="H54" s="2" t="s">
        <v>93</v>
      </c>
      <c r="I54" s="2" t="s">
        <v>10</v>
      </c>
      <c r="J54" s="9" t="s">
        <v>11</v>
      </c>
      <c r="K54" s="10">
        <v>2</v>
      </c>
    </row>
    <row r="55" spans="4:11" ht="15" x14ac:dyDescent="0.3">
      <c r="D55" s="2">
        <v>1.3</v>
      </c>
      <c r="E55" s="2" t="s">
        <v>317</v>
      </c>
      <c r="F55" s="2" t="s">
        <v>93</v>
      </c>
      <c r="G55" s="2">
        <v>2</v>
      </c>
      <c r="H55" s="2" t="s">
        <v>93</v>
      </c>
      <c r="I55" s="2" t="s">
        <v>10</v>
      </c>
      <c r="J55" s="9" t="s">
        <v>11</v>
      </c>
      <c r="K55" s="10">
        <v>2</v>
      </c>
    </row>
    <row r="56" spans="4:11" ht="15" x14ac:dyDescent="0.3">
      <c r="D56" s="2">
        <v>1.4</v>
      </c>
      <c r="E56" s="2" t="s">
        <v>318</v>
      </c>
      <c r="F56" s="2" t="s">
        <v>93</v>
      </c>
      <c r="G56" s="2">
        <v>1</v>
      </c>
      <c r="H56" s="2" t="s">
        <v>93</v>
      </c>
      <c r="I56" s="2" t="s">
        <v>10</v>
      </c>
      <c r="J56" s="9" t="s">
        <v>11</v>
      </c>
      <c r="K56" s="10">
        <v>1</v>
      </c>
    </row>
    <row r="57" spans="4:11" ht="15" x14ac:dyDescent="0.3">
      <c r="D57" s="2">
        <v>1</v>
      </c>
      <c r="E57" s="2" t="s">
        <v>355</v>
      </c>
      <c r="F57" s="2" t="s">
        <v>93</v>
      </c>
      <c r="G57" s="2">
        <v>2</v>
      </c>
      <c r="H57" s="2" t="s">
        <v>93</v>
      </c>
      <c r="I57" s="2" t="s">
        <v>10</v>
      </c>
      <c r="J57" s="9" t="s">
        <v>11</v>
      </c>
      <c r="K57" s="10">
        <v>2</v>
      </c>
    </row>
    <row r="58" spans="4:11" ht="15" x14ac:dyDescent="0.3">
      <c r="D58" s="2">
        <v>3</v>
      </c>
      <c r="E58" s="2" t="s">
        <v>357</v>
      </c>
      <c r="F58" s="2" t="s">
        <v>358</v>
      </c>
      <c r="G58" s="2">
        <v>4</v>
      </c>
      <c r="H58" s="2" t="s">
        <v>93</v>
      </c>
      <c r="I58" s="2" t="s">
        <v>10</v>
      </c>
      <c r="J58" s="9" t="s">
        <v>11</v>
      </c>
      <c r="K58" s="10">
        <v>4</v>
      </c>
    </row>
    <row r="59" spans="4:11" ht="15" x14ac:dyDescent="0.3">
      <c r="D59" s="2">
        <v>4.2</v>
      </c>
      <c r="E59" s="2" t="s">
        <v>363</v>
      </c>
      <c r="F59" s="2" t="s">
        <v>93</v>
      </c>
      <c r="G59" s="2">
        <v>2</v>
      </c>
      <c r="H59" s="2" t="s">
        <v>93</v>
      </c>
      <c r="I59" s="2" t="s">
        <v>10</v>
      </c>
      <c r="J59" s="9" t="s">
        <v>11</v>
      </c>
      <c r="K59" s="10">
        <v>2</v>
      </c>
    </row>
    <row r="60" spans="4:11" ht="15" x14ac:dyDescent="0.3">
      <c r="D60" s="2">
        <v>4.3</v>
      </c>
      <c r="E60" s="2" t="s">
        <v>364</v>
      </c>
      <c r="F60" s="2" t="s">
        <v>93</v>
      </c>
      <c r="G60" s="2">
        <v>1</v>
      </c>
      <c r="H60" s="2" t="s">
        <v>93</v>
      </c>
      <c r="I60" s="2" t="s">
        <v>10</v>
      </c>
      <c r="J60" s="9" t="s">
        <v>11</v>
      </c>
      <c r="K60" s="10">
        <v>1</v>
      </c>
    </row>
    <row r="61" spans="4:11" ht="15" x14ac:dyDescent="0.3">
      <c r="D61" s="2">
        <v>4.4000000000000004</v>
      </c>
      <c r="E61" s="2" t="s">
        <v>365</v>
      </c>
      <c r="F61" s="2" t="s">
        <v>93</v>
      </c>
      <c r="G61" s="2">
        <v>11</v>
      </c>
      <c r="H61" s="2" t="s">
        <v>93</v>
      </c>
      <c r="I61" s="2" t="s">
        <v>10</v>
      </c>
      <c r="J61" s="9" t="s">
        <v>11</v>
      </c>
      <c r="K61" s="10">
        <v>11</v>
      </c>
    </row>
    <row r="62" spans="4:11" ht="15" x14ac:dyDescent="0.3">
      <c r="D62" s="2">
        <v>5.2</v>
      </c>
      <c r="E62" s="2" t="s">
        <v>363</v>
      </c>
      <c r="F62" s="2" t="s">
        <v>93</v>
      </c>
      <c r="G62" s="2">
        <v>2</v>
      </c>
      <c r="H62" s="2" t="s">
        <v>93</v>
      </c>
      <c r="I62" s="2" t="s">
        <v>10</v>
      </c>
      <c r="J62" s="9" t="s">
        <v>11</v>
      </c>
      <c r="K62" s="10">
        <v>2</v>
      </c>
    </row>
    <row r="63" spans="4:11" ht="15" x14ac:dyDescent="0.3">
      <c r="D63" s="2">
        <v>5.3</v>
      </c>
      <c r="E63" s="2" t="s">
        <v>365</v>
      </c>
      <c r="F63" s="2" t="s">
        <v>93</v>
      </c>
      <c r="G63" s="2">
        <v>1</v>
      </c>
      <c r="H63" s="2" t="s">
        <v>93</v>
      </c>
      <c r="I63" s="2" t="s">
        <v>10</v>
      </c>
      <c r="J63" s="9" t="s">
        <v>11</v>
      </c>
      <c r="K63" s="10">
        <v>1</v>
      </c>
    </row>
    <row r="64" spans="4:11" ht="15" x14ac:dyDescent="0.3">
      <c r="D64" s="2">
        <v>6.1</v>
      </c>
      <c r="E64" s="2" t="s">
        <v>369</v>
      </c>
      <c r="F64" s="2" t="s">
        <v>93</v>
      </c>
      <c r="G64" s="2">
        <v>1</v>
      </c>
      <c r="H64" s="2" t="s">
        <v>93</v>
      </c>
      <c r="I64" s="2" t="s">
        <v>10</v>
      </c>
      <c r="J64" s="9" t="s">
        <v>11</v>
      </c>
      <c r="K64" s="10">
        <v>4</v>
      </c>
    </row>
    <row r="65" spans="4:11" ht="15" x14ac:dyDescent="0.3">
      <c r="D65" s="2">
        <v>7.1</v>
      </c>
      <c r="E65" s="2" t="s">
        <v>372</v>
      </c>
      <c r="F65" s="2" t="s">
        <v>93</v>
      </c>
      <c r="G65" s="2">
        <v>1</v>
      </c>
      <c r="H65" s="2" t="s">
        <v>93</v>
      </c>
      <c r="I65" s="2" t="s">
        <v>10</v>
      </c>
      <c r="J65" s="9" t="s">
        <v>11</v>
      </c>
      <c r="K65" s="10">
        <v>4</v>
      </c>
    </row>
    <row r="66" spans="4:11" ht="15" x14ac:dyDescent="0.3">
      <c r="D66" s="2">
        <v>7.3</v>
      </c>
      <c r="E66" s="2" t="s">
        <v>373</v>
      </c>
      <c r="F66" s="2" t="s">
        <v>93</v>
      </c>
      <c r="G66" s="2">
        <v>1</v>
      </c>
      <c r="H66" s="2" t="s">
        <v>93</v>
      </c>
      <c r="I66" s="2" t="s">
        <v>10</v>
      </c>
      <c r="J66" s="9" t="s">
        <v>11</v>
      </c>
      <c r="K66" s="10">
        <v>4</v>
      </c>
    </row>
    <row r="67" spans="4:11" ht="15" x14ac:dyDescent="0.3">
      <c r="D67" s="2">
        <v>8</v>
      </c>
      <c r="E67" s="2" t="s">
        <v>374</v>
      </c>
      <c r="F67" s="2" t="s">
        <v>93</v>
      </c>
      <c r="G67" s="2">
        <v>2</v>
      </c>
      <c r="H67" s="2" t="s">
        <v>93</v>
      </c>
      <c r="I67" s="2" t="s">
        <v>10</v>
      </c>
      <c r="J67" s="9" t="s">
        <v>11</v>
      </c>
      <c r="K67" s="10">
        <v>2</v>
      </c>
    </row>
    <row r="68" spans="4:11" ht="15" x14ac:dyDescent="0.3">
      <c r="D68" s="2">
        <v>9</v>
      </c>
      <c r="E68" s="2" t="s">
        <v>375</v>
      </c>
      <c r="F68" s="2" t="s">
        <v>93</v>
      </c>
      <c r="G68" s="2">
        <v>1</v>
      </c>
      <c r="H68" s="2" t="s">
        <v>93</v>
      </c>
      <c r="I68" s="2" t="s">
        <v>10</v>
      </c>
      <c r="J68" s="9" t="s">
        <v>11</v>
      </c>
      <c r="K68" s="10">
        <v>1</v>
      </c>
    </row>
    <row r="69" spans="4:11" ht="15" x14ac:dyDescent="0.3">
      <c r="D69" s="2">
        <v>10.1</v>
      </c>
      <c r="E69" s="2" t="s">
        <v>377</v>
      </c>
      <c r="F69" s="2" t="s">
        <v>93</v>
      </c>
      <c r="G69" s="2">
        <v>1</v>
      </c>
      <c r="H69" s="2" t="s">
        <v>93</v>
      </c>
      <c r="I69" s="2" t="s">
        <v>10</v>
      </c>
      <c r="J69" s="9" t="s">
        <v>11</v>
      </c>
      <c r="K69" s="10">
        <v>1</v>
      </c>
    </row>
    <row r="70" spans="4:11" ht="15" x14ac:dyDescent="0.3">
      <c r="D70" s="2">
        <v>10.199999999999999</v>
      </c>
      <c r="E70" s="2" t="s">
        <v>378</v>
      </c>
      <c r="F70" s="2" t="s">
        <v>93</v>
      </c>
      <c r="G70" s="2">
        <v>1</v>
      </c>
      <c r="H70" s="2" t="s">
        <v>93</v>
      </c>
      <c r="I70" s="2" t="s">
        <v>10</v>
      </c>
      <c r="J70" s="9" t="s">
        <v>11</v>
      </c>
      <c r="K70" s="10">
        <v>1</v>
      </c>
    </row>
    <row r="71" spans="4:11" ht="15" x14ac:dyDescent="0.3">
      <c r="D71" s="2">
        <v>12.1</v>
      </c>
      <c r="E71" s="2" t="s">
        <v>382</v>
      </c>
      <c r="F71" s="2" t="s">
        <v>93</v>
      </c>
      <c r="G71" s="2">
        <v>2</v>
      </c>
      <c r="H71" s="2" t="s">
        <v>93</v>
      </c>
      <c r="I71" s="2" t="s">
        <v>10</v>
      </c>
      <c r="J71" s="9" t="s">
        <v>11</v>
      </c>
      <c r="K71" s="10">
        <v>2</v>
      </c>
    </row>
    <row r="72" spans="4:11" ht="15" x14ac:dyDescent="0.3">
      <c r="D72" s="2">
        <v>12.2</v>
      </c>
      <c r="E72" s="2" t="s">
        <v>383</v>
      </c>
      <c r="F72" s="2" t="s">
        <v>93</v>
      </c>
      <c r="G72" s="2">
        <v>1</v>
      </c>
      <c r="H72" s="2" t="s">
        <v>93</v>
      </c>
      <c r="I72" s="2" t="s">
        <v>10</v>
      </c>
      <c r="J72" s="9" t="s">
        <v>11</v>
      </c>
      <c r="K72" s="10">
        <v>1</v>
      </c>
    </row>
    <row r="73" spans="4:11" ht="15" x14ac:dyDescent="0.3">
      <c r="D73" s="2">
        <v>1.1000000000000001</v>
      </c>
      <c r="E73" s="2" t="s">
        <v>315</v>
      </c>
      <c r="F73" s="2" t="s">
        <v>93</v>
      </c>
      <c r="G73" s="2">
        <v>2</v>
      </c>
      <c r="H73" s="2" t="s">
        <v>93</v>
      </c>
      <c r="I73" s="2" t="s">
        <v>10</v>
      </c>
      <c r="J73" s="9" t="s">
        <v>11</v>
      </c>
      <c r="K73" s="10">
        <v>2</v>
      </c>
    </row>
    <row r="74" spans="4:11" ht="15" x14ac:dyDescent="0.3">
      <c r="D74" s="2">
        <v>1.2</v>
      </c>
      <c r="E74" s="2" t="s">
        <v>395</v>
      </c>
      <c r="F74" s="2" t="s">
        <v>93</v>
      </c>
      <c r="G74" s="2">
        <v>2</v>
      </c>
      <c r="H74" s="2" t="s">
        <v>93</v>
      </c>
      <c r="I74" s="2" t="s">
        <v>10</v>
      </c>
      <c r="J74" s="9" t="s">
        <v>11</v>
      </c>
      <c r="K74" s="10">
        <v>2</v>
      </c>
    </row>
    <row r="75" spans="4:11" ht="15" x14ac:dyDescent="0.3">
      <c r="D75" s="2">
        <v>1.3</v>
      </c>
      <c r="E75" s="2" t="s">
        <v>317</v>
      </c>
      <c r="F75" s="2" t="s">
        <v>93</v>
      </c>
      <c r="G75" s="2">
        <v>2</v>
      </c>
      <c r="H75" s="2" t="s">
        <v>93</v>
      </c>
      <c r="I75" s="2" t="s">
        <v>10</v>
      </c>
      <c r="J75" s="9" t="s">
        <v>11</v>
      </c>
      <c r="K75" s="10">
        <v>2</v>
      </c>
    </row>
    <row r="76" spans="4:11" ht="15" x14ac:dyDescent="0.3">
      <c r="D76" s="2">
        <v>1.4</v>
      </c>
      <c r="E76" s="2" t="s">
        <v>318</v>
      </c>
      <c r="F76" s="2" t="s">
        <v>93</v>
      </c>
      <c r="G76" s="2">
        <v>1</v>
      </c>
      <c r="H76" s="2" t="s">
        <v>93</v>
      </c>
      <c r="I76" s="2" t="s">
        <v>10</v>
      </c>
      <c r="J76" s="9" t="s">
        <v>11</v>
      </c>
      <c r="K76" s="10">
        <v>1</v>
      </c>
    </row>
    <row r="77" spans="4:11" ht="15" x14ac:dyDescent="0.3">
      <c r="D77" s="2">
        <v>2</v>
      </c>
      <c r="E77" s="2" t="s">
        <v>397</v>
      </c>
      <c r="F77" s="2" t="s">
        <v>93</v>
      </c>
      <c r="G77" s="2">
        <v>1</v>
      </c>
      <c r="H77" s="2" t="s">
        <v>93</v>
      </c>
      <c r="I77" s="2" t="s">
        <v>10</v>
      </c>
      <c r="J77" s="9" t="s">
        <v>11</v>
      </c>
      <c r="K77" s="10">
        <v>1</v>
      </c>
    </row>
  </sheetData>
  <dataValidations count="2">
    <dataValidation type="list" allowBlank="1" showInputMessage="1" showErrorMessage="1" sqref="A2" xr:uid="{87A58C10-26D2-4057-B819-3D93D540CD23}">
      <formula1>"TUBE,MACHINED PART,SHEET,ROUND PART,OEM,OTHERS"</formula1>
    </dataValidation>
    <dataValidation type="list" allowBlank="1" showInputMessage="1" showErrorMessage="1" sqref="B2" xr:uid="{F7346A01-6ACA-4305-8FDB-D50894F43332}">
      <formula1>"SPH, ,"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67"/>
  <sheetViews>
    <sheetView zoomScaleNormal="100" workbookViewId="0">
      <selection activeCell="F8" sqref="F8"/>
    </sheetView>
  </sheetViews>
  <sheetFormatPr defaultRowHeight="14.4" x14ac:dyDescent="0.3"/>
  <cols>
    <col min="1" max="1" width="14.5546875" customWidth="1"/>
    <col min="2" max="2" width="21.33203125" customWidth="1"/>
    <col min="3" max="3" width="47.109375" customWidth="1"/>
    <col min="4" max="4" width="9.109375" customWidth="1"/>
    <col min="5" max="5" width="18" customWidth="1"/>
    <col min="6" max="6" width="17.6640625" customWidth="1"/>
    <col min="7" max="7" width="18.88671875" customWidth="1"/>
    <col min="8" max="8" width="15.21875" style="8" customWidth="1"/>
    <col min="9" max="9" width="8.5546875" customWidth="1"/>
    <col min="10" max="10" width="16.33203125" customWidth="1"/>
    <col min="11" max="1022" width="8.5546875" customWidth="1"/>
  </cols>
  <sheetData>
    <row r="1" spans="1:11" ht="16.95" customHeight="1" x14ac:dyDescent="0.3">
      <c r="A1" s="31" t="s">
        <v>0</v>
      </c>
      <c r="B1" s="31"/>
      <c r="C1" s="31"/>
      <c r="D1" s="31"/>
      <c r="E1" s="31"/>
      <c r="F1" s="31"/>
      <c r="G1" s="31"/>
      <c r="H1" s="10"/>
    </row>
    <row r="2" spans="1:11" ht="16.95" customHeight="1" x14ac:dyDescent="0.3">
      <c r="A2" s="31"/>
      <c r="B2" s="31"/>
      <c r="C2" s="31"/>
      <c r="D2" s="31"/>
      <c r="E2" s="31"/>
      <c r="F2" s="31"/>
      <c r="G2" s="31"/>
      <c r="H2" s="10"/>
    </row>
    <row r="3" spans="1:11" ht="16.95" customHeight="1" x14ac:dyDescent="0.3">
      <c r="A3" s="27" t="s">
        <v>1</v>
      </c>
      <c r="B3" s="27" t="s">
        <v>2</v>
      </c>
      <c r="C3" s="27" t="s">
        <v>3</v>
      </c>
      <c r="D3" s="27" t="s">
        <v>4</v>
      </c>
      <c r="E3" s="27" t="s">
        <v>5</v>
      </c>
      <c r="F3" s="27" t="s">
        <v>6</v>
      </c>
      <c r="G3" s="27" t="s">
        <v>7</v>
      </c>
      <c r="H3" s="16" t="s">
        <v>398</v>
      </c>
      <c r="J3" s="26" t="s">
        <v>8</v>
      </c>
      <c r="K3" t="str">
        <f>VLOOKUP(J3,B4:G64,2,FALSE)</f>
        <v>BASE WELDMENT</v>
      </c>
    </row>
    <row r="4" spans="1:11" ht="16.95" customHeight="1" x14ac:dyDescent="0.3">
      <c r="A4" s="17">
        <v>1</v>
      </c>
      <c r="B4" s="18" t="s">
        <v>8</v>
      </c>
      <c r="C4" s="17" t="s">
        <v>9</v>
      </c>
      <c r="D4" s="17">
        <v>2</v>
      </c>
      <c r="E4" s="17" t="str">
        <f>VLOOKUP(B4,[1]Sheet2!B$1:E$58,4,0)</f>
        <v>WELDMENT</v>
      </c>
      <c r="F4" s="17" t="s">
        <v>10</v>
      </c>
      <c r="G4" s="17" t="s">
        <v>11</v>
      </c>
      <c r="H4" s="17">
        <v>2</v>
      </c>
    </row>
    <row r="5" spans="1:11" ht="16.95" customHeight="1" x14ac:dyDescent="0.3">
      <c r="A5" s="17">
        <v>2</v>
      </c>
      <c r="B5" s="17" t="s">
        <v>12</v>
      </c>
      <c r="C5" s="17" t="s">
        <v>13</v>
      </c>
      <c r="D5" s="17">
        <v>1</v>
      </c>
      <c r="E5" s="17" t="str">
        <f>VLOOKUP(B5,[1]Sheet2!B$1:E$58,4,0)</f>
        <v>SHEET</v>
      </c>
      <c r="F5" s="17" t="s">
        <v>10</v>
      </c>
      <c r="G5" s="17" t="s">
        <v>11</v>
      </c>
      <c r="H5" s="17">
        <v>1</v>
      </c>
    </row>
    <row r="6" spans="1:11" ht="16.95" customHeight="1" x14ac:dyDescent="0.3">
      <c r="A6" s="17">
        <v>3</v>
      </c>
      <c r="B6" s="19" t="s">
        <v>14</v>
      </c>
      <c r="C6" s="17"/>
      <c r="D6" s="17">
        <v>2</v>
      </c>
      <c r="E6" s="17" t="str">
        <f>VLOOKUP(B6,[1]Sheet2!B$1:E$58,4,0)</f>
        <v>OEM</v>
      </c>
      <c r="F6" s="17" t="s">
        <v>15</v>
      </c>
      <c r="G6" s="17"/>
      <c r="H6" s="17">
        <v>2</v>
      </c>
    </row>
    <row r="7" spans="1:11" ht="16.95" customHeight="1" x14ac:dyDescent="0.3">
      <c r="A7" s="17">
        <v>4</v>
      </c>
      <c r="B7" s="18" t="s">
        <v>16</v>
      </c>
      <c r="C7" s="17" t="s">
        <v>17</v>
      </c>
      <c r="D7" s="17">
        <v>1000</v>
      </c>
      <c r="E7" s="17" t="str">
        <f>VLOOKUP(B7,[1]Sheet2!B$1:E$58,4,0)</f>
        <v>WELDMENT</v>
      </c>
      <c r="F7" s="17" t="s">
        <v>10</v>
      </c>
      <c r="G7" s="17" t="s">
        <v>11</v>
      </c>
      <c r="H7" s="17">
        <v>1000</v>
      </c>
    </row>
    <row r="8" spans="1:11" ht="16.95" customHeight="1" x14ac:dyDescent="0.3">
      <c r="A8" s="17">
        <v>5</v>
      </c>
      <c r="B8" s="19" t="s">
        <v>18</v>
      </c>
      <c r="C8" s="17" t="s">
        <v>19</v>
      </c>
      <c r="D8" s="17">
        <v>4</v>
      </c>
      <c r="E8" s="17" t="str">
        <f>VLOOKUP(B8,[1]Sheet2!B$1:E$58,4,0)</f>
        <v>OEM</v>
      </c>
      <c r="F8" s="17" t="s">
        <v>15</v>
      </c>
      <c r="G8" s="17"/>
      <c r="H8" s="17">
        <v>4</v>
      </c>
    </row>
    <row r="9" spans="1:11" ht="16.95" customHeight="1" x14ac:dyDescent="0.3">
      <c r="A9" s="17">
        <v>6</v>
      </c>
      <c r="B9" s="17" t="s">
        <v>20</v>
      </c>
      <c r="C9" s="17" t="s">
        <v>21</v>
      </c>
      <c r="D9" s="17">
        <v>1</v>
      </c>
      <c r="E9" s="17" t="str">
        <f>VLOOKUP(B9,[1]Sheet2!B$1:E$58,4,0)</f>
        <v>ROUND PART</v>
      </c>
      <c r="F9" s="17" t="s">
        <v>10</v>
      </c>
      <c r="G9" s="17" t="s">
        <v>11</v>
      </c>
      <c r="H9" s="17">
        <v>1</v>
      </c>
    </row>
    <row r="10" spans="1:11" ht="16.95" customHeight="1" x14ac:dyDescent="0.3">
      <c r="A10" s="17">
        <v>7</v>
      </c>
      <c r="B10" s="17" t="s">
        <v>22</v>
      </c>
      <c r="C10" s="17"/>
      <c r="D10" s="17">
        <v>2</v>
      </c>
      <c r="E10" s="17" t="str">
        <f>VLOOKUP(B10,[1]Sheet2!B$1:E$58,4,0)</f>
        <v>OEM</v>
      </c>
      <c r="F10" s="17" t="s">
        <v>15</v>
      </c>
      <c r="G10" s="17"/>
      <c r="H10" s="17">
        <v>2</v>
      </c>
    </row>
    <row r="11" spans="1:11" ht="16.95" customHeight="1" x14ac:dyDescent="0.3">
      <c r="A11" s="17">
        <v>8</v>
      </c>
      <c r="B11" s="17" t="s">
        <v>23</v>
      </c>
      <c r="C11" s="17" t="s">
        <v>24</v>
      </c>
      <c r="D11" s="17">
        <v>2</v>
      </c>
      <c r="E11" s="17" t="str">
        <f>VLOOKUP(B11,[1]Sheet2!B$1:E$58,4,0)</f>
        <v>OTHERS</v>
      </c>
      <c r="F11" s="17" t="s">
        <v>10</v>
      </c>
      <c r="G11" s="17" t="s">
        <v>11</v>
      </c>
      <c r="H11" s="17">
        <v>2</v>
      </c>
    </row>
    <row r="12" spans="1:11" ht="16.95" customHeight="1" x14ac:dyDescent="0.3">
      <c r="A12" s="17">
        <v>9</v>
      </c>
      <c r="B12" s="17" t="s">
        <v>25</v>
      </c>
      <c r="C12" s="17" t="s">
        <v>26</v>
      </c>
      <c r="D12" s="17">
        <v>2</v>
      </c>
      <c r="E12" s="17" t="str">
        <f>VLOOKUP(B12,[1]Sheet2!B$1:E$58,4,0)</f>
        <v>OTHERS</v>
      </c>
      <c r="F12" s="17" t="s">
        <v>10</v>
      </c>
      <c r="G12" s="17" t="s">
        <v>11</v>
      </c>
      <c r="H12" s="17">
        <v>2</v>
      </c>
    </row>
    <row r="13" spans="1:11" ht="16.95" customHeight="1" x14ac:dyDescent="0.3">
      <c r="A13" s="17">
        <v>10</v>
      </c>
      <c r="B13" s="18" t="s">
        <v>27</v>
      </c>
      <c r="C13" s="17" t="s">
        <v>28</v>
      </c>
      <c r="D13" s="17">
        <v>1</v>
      </c>
      <c r="E13" s="17" t="str">
        <f>VLOOKUP(B13,[1]Sheet2!B$1:E$58,4,0)</f>
        <v>WELDMENT</v>
      </c>
      <c r="F13" s="17" t="s">
        <v>10</v>
      </c>
      <c r="G13" s="17" t="s">
        <v>11</v>
      </c>
      <c r="H13" s="17">
        <v>1</v>
      </c>
    </row>
    <row r="14" spans="1:11" ht="16.95" customHeight="1" x14ac:dyDescent="0.3">
      <c r="A14" s="17">
        <v>11</v>
      </c>
      <c r="B14" s="18" t="s">
        <v>29</v>
      </c>
      <c r="C14" s="17" t="s">
        <v>30</v>
      </c>
      <c r="D14" s="17">
        <v>4</v>
      </c>
      <c r="E14" s="17" t="str">
        <f>VLOOKUP(B14,[1]Sheet2!B$1:E$58,4,0)</f>
        <v>WELDMENT</v>
      </c>
      <c r="F14" s="17" t="s">
        <v>10</v>
      </c>
      <c r="G14" s="17" t="s">
        <v>11</v>
      </c>
      <c r="H14" s="17">
        <v>4</v>
      </c>
    </row>
    <row r="15" spans="1:11" ht="16.95" customHeight="1" x14ac:dyDescent="0.3">
      <c r="A15" s="17">
        <v>12</v>
      </c>
      <c r="B15" s="18" t="s">
        <v>31</v>
      </c>
      <c r="C15" s="17" t="s">
        <v>32</v>
      </c>
      <c r="D15" s="17">
        <v>1</v>
      </c>
      <c r="E15" s="17" t="str">
        <f>VLOOKUP(B15,[1]Sheet2!B$1:E$58,4,0)</f>
        <v>ASSEMBLY</v>
      </c>
      <c r="F15" s="17" t="s">
        <v>10</v>
      </c>
      <c r="G15" s="17" t="s">
        <v>11</v>
      </c>
      <c r="H15" s="17">
        <v>1</v>
      </c>
    </row>
    <row r="16" spans="1:11" ht="16.95" customHeight="1" x14ac:dyDescent="0.3">
      <c r="A16" s="17">
        <v>13</v>
      </c>
      <c r="B16" s="18" t="s">
        <v>33</v>
      </c>
      <c r="C16" s="17" t="s">
        <v>34</v>
      </c>
      <c r="D16" s="17">
        <v>1</v>
      </c>
      <c r="E16" s="17" t="str">
        <f>VLOOKUP(B16,[1]Sheet2!B$1:E$58,4,0)</f>
        <v>WELDMENT</v>
      </c>
      <c r="F16" s="17" t="s">
        <v>10</v>
      </c>
      <c r="G16" s="17" t="s">
        <v>11</v>
      </c>
      <c r="H16" s="17">
        <v>1</v>
      </c>
    </row>
    <row r="17" spans="1:8" ht="16.95" customHeight="1" x14ac:dyDescent="0.3">
      <c r="A17" s="17">
        <v>14</v>
      </c>
      <c r="B17" s="18" t="s">
        <v>35</v>
      </c>
      <c r="C17" s="17" t="s">
        <v>34</v>
      </c>
      <c r="D17" s="17">
        <v>1</v>
      </c>
      <c r="E17" s="17" t="str">
        <f>VLOOKUP(B17,[1]Sheet2!B$1:E$58,4,0)</f>
        <v>WELDMENT</v>
      </c>
      <c r="F17" s="17" t="s">
        <v>10</v>
      </c>
      <c r="G17" s="17" t="s">
        <v>11</v>
      </c>
      <c r="H17" s="17">
        <v>1</v>
      </c>
    </row>
    <row r="18" spans="1:8" ht="16.95" customHeight="1" x14ac:dyDescent="0.3">
      <c r="A18" s="17">
        <v>15</v>
      </c>
      <c r="B18" s="17" t="s">
        <v>36</v>
      </c>
      <c r="C18" s="17"/>
      <c r="D18" s="17">
        <v>8</v>
      </c>
      <c r="E18" s="17" t="str">
        <f>VLOOKUP(B18,[1]Sheet2!B$1:E$58,4,0)</f>
        <v>SHEET</v>
      </c>
      <c r="F18" s="17" t="s">
        <v>10</v>
      </c>
      <c r="G18" s="17" t="s">
        <v>11</v>
      </c>
      <c r="H18" s="17">
        <v>8</v>
      </c>
    </row>
    <row r="19" spans="1:8" ht="16.95" customHeight="1" x14ac:dyDescent="0.3">
      <c r="A19" s="17">
        <v>16</v>
      </c>
      <c r="B19" s="18" t="s">
        <v>37</v>
      </c>
      <c r="C19" s="17" t="s">
        <v>38</v>
      </c>
      <c r="D19" s="17">
        <v>2</v>
      </c>
      <c r="E19" s="17" t="str">
        <f>VLOOKUP(B19,[1]Sheet2!B$1:E$58,4,0)</f>
        <v>WELDMENT</v>
      </c>
      <c r="F19" s="17" t="s">
        <v>10</v>
      </c>
      <c r="G19" s="17" t="s">
        <v>11</v>
      </c>
      <c r="H19" s="17">
        <v>2</v>
      </c>
    </row>
    <row r="20" spans="1:8" ht="16.95" customHeight="1" x14ac:dyDescent="0.3">
      <c r="A20" s="17">
        <v>17</v>
      </c>
      <c r="B20" s="18" t="s">
        <v>39</v>
      </c>
      <c r="C20" s="17" t="s">
        <v>40</v>
      </c>
      <c r="D20" s="17">
        <v>1</v>
      </c>
      <c r="E20" s="17" t="str">
        <f>VLOOKUP(B20,[1]Sheet2!B$1:E$58,4,0)</f>
        <v>WELDMENT</v>
      </c>
      <c r="F20" s="17" t="s">
        <v>10</v>
      </c>
      <c r="G20" s="17" t="s">
        <v>11</v>
      </c>
      <c r="H20" s="17">
        <v>1</v>
      </c>
    </row>
    <row r="21" spans="1:8" ht="16.95" customHeight="1" x14ac:dyDescent="0.3">
      <c r="A21" s="17">
        <v>18</v>
      </c>
      <c r="B21" s="17" t="s">
        <v>41</v>
      </c>
      <c r="C21" s="17"/>
      <c r="D21" s="17">
        <v>1</v>
      </c>
      <c r="E21" s="17" t="str">
        <f>VLOOKUP(B21,[1]Sheet2!B$1:E$58,4,0)</f>
        <v>OEM</v>
      </c>
      <c r="F21" s="17" t="s">
        <v>15</v>
      </c>
      <c r="G21" s="17"/>
      <c r="H21" s="17">
        <v>1</v>
      </c>
    </row>
    <row r="22" spans="1:8" ht="16.95" customHeight="1" x14ac:dyDescent="0.3">
      <c r="A22" s="17">
        <v>19</v>
      </c>
      <c r="B22" s="19" t="s">
        <v>42</v>
      </c>
      <c r="C22" s="17"/>
      <c r="D22" s="17">
        <v>2</v>
      </c>
      <c r="E22" s="17" t="str">
        <f>VLOOKUP(B22,[1]Sheet2!B$1:E$58,4,0)</f>
        <v>OEM</v>
      </c>
      <c r="F22" s="17" t="s">
        <v>15</v>
      </c>
      <c r="G22" s="17"/>
      <c r="H22" s="17">
        <v>2</v>
      </c>
    </row>
    <row r="23" spans="1:8" ht="16.95" customHeight="1" x14ac:dyDescent="0.3">
      <c r="A23" s="17">
        <v>20</v>
      </c>
      <c r="B23" s="19" t="s">
        <v>43</v>
      </c>
      <c r="C23" s="17"/>
      <c r="D23" s="17">
        <v>2</v>
      </c>
      <c r="E23" s="17" t="str">
        <f>VLOOKUP(B23,[1]Sheet2!B$1:E$58,4,0)</f>
        <v>OEM</v>
      </c>
      <c r="F23" s="17" t="s">
        <v>15</v>
      </c>
      <c r="G23" s="17"/>
      <c r="H23" s="17">
        <v>2</v>
      </c>
    </row>
    <row r="24" spans="1:8" ht="16.95" customHeight="1" x14ac:dyDescent="0.3">
      <c r="A24" s="17">
        <v>21</v>
      </c>
      <c r="B24" s="17" t="s">
        <v>44</v>
      </c>
      <c r="C24" s="17" t="s">
        <v>45</v>
      </c>
      <c r="D24" s="17">
        <v>1</v>
      </c>
      <c r="E24" s="17" t="str">
        <f>VLOOKUP(B24,[1]Sheet2!B$1:E$58,4,0)</f>
        <v>OEM</v>
      </c>
      <c r="F24" s="17" t="s">
        <v>15</v>
      </c>
      <c r="G24" s="17"/>
      <c r="H24" s="17">
        <v>1</v>
      </c>
    </row>
    <row r="25" spans="1:8" ht="16.95" customHeight="1" x14ac:dyDescent="0.3">
      <c r="A25" s="17">
        <v>22</v>
      </c>
      <c r="B25" s="17" t="s">
        <v>46</v>
      </c>
      <c r="C25" s="17" t="s">
        <v>47</v>
      </c>
      <c r="D25" s="17">
        <v>2</v>
      </c>
      <c r="E25" s="17" t="str">
        <f>VLOOKUP(B25,[1]Sheet2!B$1:E$58,4,0)</f>
        <v>ROUND PART</v>
      </c>
      <c r="F25" s="17" t="s">
        <v>10</v>
      </c>
      <c r="G25" s="17" t="s">
        <v>11</v>
      </c>
      <c r="H25" s="17">
        <v>2</v>
      </c>
    </row>
    <row r="26" spans="1:8" ht="16.95" customHeight="1" x14ac:dyDescent="0.3">
      <c r="A26" s="17">
        <v>23</v>
      </c>
      <c r="B26" s="17" t="s">
        <v>48</v>
      </c>
      <c r="C26" s="17"/>
      <c r="D26" s="17">
        <v>1</v>
      </c>
      <c r="E26" s="17" t="str">
        <f>VLOOKUP(B26,[1]Sheet2!B$1:E$58,4,0)</f>
        <v>OEM</v>
      </c>
      <c r="F26" s="17" t="s">
        <v>15</v>
      </c>
      <c r="G26" s="17"/>
      <c r="H26" s="17">
        <v>1</v>
      </c>
    </row>
    <row r="27" spans="1:8" ht="28.8" customHeight="1" x14ac:dyDescent="0.3">
      <c r="A27" s="17">
        <v>24</v>
      </c>
      <c r="B27" s="17" t="s">
        <v>401</v>
      </c>
      <c r="C27" s="17"/>
      <c r="D27" s="17">
        <v>1</v>
      </c>
      <c r="E27" s="17" t="str">
        <f>VLOOKUP(B27,[1]Sheet2!B$1:E$58,4,0)</f>
        <v>OEM</v>
      </c>
      <c r="F27" s="17" t="s">
        <v>15</v>
      </c>
      <c r="G27" s="17"/>
      <c r="H27" s="17">
        <v>1</v>
      </c>
    </row>
    <row r="28" spans="1:8" ht="28.8" customHeight="1" x14ac:dyDescent="0.3">
      <c r="A28" s="17">
        <v>25</v>
      </c>
      <c r="B28" s="17">
        <v>102226</v>
      </c>
      <c r="C28" s="17"/>
      <c r="D28" s="17">
        <v>102</v>
      </c>
      <c r="E28" s="17" t="str">
        <f>VLOOKUP(B28,[1]Sheet2!B$1:E$58,4,0)</f>
        <v>OEM</v>
      </c>
      <c r="F28" s="17" t="s">
        <v>15</v>
      </c>
      <c r="G28" s="17"/>
      <c r="H28" s="17">
        <v>102</v>
      </c>
    </row>
    <row r="29" spans="1:8" ht="16.95" customHeight="1" x14ac:dyDescent="0.3">
      <c r="A29" s="17">
        <v>26</v>
      </c>
      <c r="B29" s="18" t="s">
        <v>49</v>
      </c>
      <c r="C29" s="17" t="s">
        <v>50</v>
      </c>
      <c r="D29" s="17">
        <v>1</v>
      </c>
      <c r="E29" s="17" t="str">
        <f>VLOOKUP(B29,[1]Sheet2!B$1:E$58,4,0)</f>
        <v>WELDMENT</v>
      </c>
      <c r="F29" s="17" t="s">
        <v>10</v>
      </c>
      <c r="G29" s="17" t="s">
        <v>11</v>
      </c>
      <c r="H29" s="17">
        <v>1</v>
      </c>
    </row>
    <row r="30" spans="1:8" ht="16.95" customHeight="1" x14ac:dyDescent="0.3">
      <c r="A30" s="17">
        <v>27</v>
      </c>
      <c r="B30" s="17" t="s">
        <v>51</v>
      </c>
      <c r="C30" s="17" t="s">
        <v>52</v>
      </c>
      <c r="D30" s="17">
        <v>1</v>
      </c>
      <c r="E30" s="17" t="str">
        <f>VLOOKUP(B30,[1]Sheet2!B$1:E$58,4,0)</f>
        <v>OEM</v>
      </c>
      <c r="F30" s="17" t="s">
        <v>15</v>
      </c>
      <c r="G30" s="17"/>
      <c r="H30" s="17">
        <v>1</v>
      </c>
    </row>
    <row r="31" spans="1:8" ht="16.95" customHeight="1" x14ac:dyDescent="0.3">
      <c r="A31" s="17">
        <v>28</v>
      </c>
      <c r="B31" s="18" t="s">
        <v>53</v>
      </c>
      <c r="C31" s="17" t="s">
        <v>54</v>
      </c>
      <c r="D31" s="17">
        <v>1</v>
      </c>
      <c r="E31" s="17" t="str">
        <f>VLOOKUP(B31,[1]Sheet2!B$1:E$58,4,0)</f>
        <v>WELDMENT</v>
      </c>
      <c r="F31" s="17" t="s">
        <v>10</v>
      </c>
      <c r="G31" s="17" t="s">
        <v>11</v>
      </c>
      <c r="H31" s="17">
        <v>1</v>
      </c>
    </row>
    <row r="32" spans="1:8" ht="16.95" customHeight="1" x14ac:dyDescent="0.3">
      <c r="A32" s="17">
        <v>29</v>
      </c>
      <c r="B32" s="17" t="s">
        <v>55</v>
      </c>
      <c r="C32" s="17"/>
      <c r="D32" s="17">
        <v>1</v>
      </c>
      <c r="E32" s="17" t="str">
        <f>VLOOKUP(B32,[1]Sheet2!B$1:E$58,4,0)</f>
        <v>OEM</v>
      </c>
      <c r="F32" s="17" t="s">
        <v>15</v>
      </c>
      <c r="G32" s="17"/>
      <c r="H32" s="17">
        <v>1</v>
      </c>
    </row>
    <row r="33" spans="1:8" ht="16.95" customHeight="1" x14ac:dyDescent="0.3">
      <c r="A33" s="17">
        <v>30</v>
      </c>
      <c r="B33" s="19" t="s">
        <v>56</v>
      </c>
      <c r="C33" s="17"/>
      <c r="D33" s="17">
        <v>2</v>
      </c>
      <c r="E33" s="17" t="str">
        <f>VLOOKUP(B33,[1]Sheet2!B$1:E$58,4,0)</f>
        <v>OEM</v>
      </c>
      <c r="F33" s="17" t="s">
        <v>15</v>
      </c>
      <c r="G33" s="17"/>
      <c r="H33" s="17">
        <v>2</v>
      </c>
    </row>
    <row r="34" spans="1:8" ht="15" x14ac:dyDescent="0.3">
      <c r="A34" s="17">
        <v>31</v>
      </c>
      <c r="B34" s="18" t="s">
        <v>57</v>
      </c>
      <c r="C34" s="17"/>
      <c r="D34" s="17">
        <v>1</v>
      </c>
      <c r="E34" s="17" t="str">
        <f>VLOOKUP(B34,[1]Sheet2!B$1:E$58,4,0)</f>
        <v>WELDMENT</v>
      </c>
      <c r="F34" s="17" t="s">
        <v>10</v>
      </c>
      <c r="G34" s="17" t="s">
        <v>11</v>
      </c>
      <c r="H34" s="17">
        <v>1</v>
      </c>
    </row>
    <row r="35" spans="1:8" ht="25.95" customHeight="1" x14ac:dyDescent="0.3">
      <c r="A35" s="17">
        <v>32</v>
      </c>
      <c r="B35" s="18" t="s">
        <v>58</v>
      </c>
      <c r="C35" s="17" t="s">
        <v>59</v>
      </c>
      <c r="D35" s="17">
        <v>1</v>
      </c>
      <c r="E35" s="17" t="str">
        <f>VLOOKUP(B35,[1]Sheet2!B$1:E$58,4,0)</f>
        <v>WELDMENT</v>
      </c>
      <c r="F35" s="17" t="s">
        <v>10</v>
      </c>
      <c r="G35" s="17" t="s">
        <v>11</v>
      </c>
      <c r="H35" s="17">
        <v>1</v>
      </c>
    </row>
    <row r="36" spans="1:8" ht="16.95" customHeight="1" x14ac:dyDescent="0.3">
      <c r="A36" s="17">
        <v>33</v>
      </c>
      <c r="B36" s="17" t="s">
        <v>60</v>
      </c>
      <c r="C36" s="17"/>
      <c r="D36" s="17">
        <v>2</v>
      </c>
      <c r="E36" s="17" t="str">
        <f>VLOOKUP(B36,[1]Sheet2!B$1:E$58,4,0)</f>
        <v>OEM</v>
      </c>
      <c r="F36" s="17" t="s">
        <v>15</v>
      </c>
      <c r="G36" s="17"/>
      <c r="H36" s="17">
        <v>2</v>
      </c>
    </row>
    <row r="37" spans="1:8" ht="16.95" customHeight="1" x14ac:dyDescent="0.3">
      <c r="A37" s="17">
        <v>34</v>
      </c>
      <c r="B37" s="18" t="s">
        <v>61</v>
      </c>
      <c r="C37" s="17" t="s">
        <v>62</v>
      </c>
      <c r="D37" s="17">
        <v>1</v>
      </c>
      <c r="E37" s="17" t="str">
        <f>VLOOKUP(B37,[1]Sheet2!B$1:E$58,4,0)</f>
        <v>ASSEMBLY</v>
      </c>
      <c r="F37" s="17" t="s">
        <v>10</v>
      </c>
      <c r="G37" s="17" t="s">
        <v>11</v>
      </c>
      <c r="H37" s="17">
        <v>1</v>
      </c>
    </row>
    <row r="38" spans="1:8" ht="16.95" customHeight="1" x14ac:dyDescent="0.3">
      <c r="A38" s="17">
        <v>35</v>
      </c>
      <c r="B38" s="17" t="s">
        <v>63</v>
      </c>
      <c r="C38" s="17"/>
      <c r="D38" s="17">
        <v>4</v>
      </c>
      <c r="E38" s="17" t="str">
        <f>VLOOKUP(B38,[1]Sheet2!B$1:E$58,4,0)</f>
        <v>OEM</v>
      </c>
      <c r="F38" s="17" t="s">
        <v>15</v>
      </c>
      <c r="G38" s="17"/>
      <c r="H38" s="17">
        <v>4</v>
      </c>
    </row>
    <row r="39" spans="1:8" ht="16.95" customHeight="1" x14ac:dyDescent="0.3">
      <c r="A39" s="17">
        <v>36</v>
      </c>
      <c r="B39" s="17" t="s">
        <v>64</v>
      </c>
      <c r="C39" s="17" t="s">
        <v>65</v>
      </c>
      <c r="D39" s="17">
        <v>1</v>
      </c>
      <c r="E39" s="17" t="str">
        <f>VLOOKUP(B39,[1]Sheet2!B$1:E$58,4,0)</f>
        <v>SHEET</v>
      </c>
      <c r="F39" s="17" t="s">
        <v>10</v>
      </c>
      <c r="G39" s="17" t="s">
        <v>11</v>
      </c>
      <c r="H39" s="17">
        <v>1</v>
      </c>
    </row>
    <row r="40" spans="1:8" ht="16.95" customHeight="1" x14ac:dyDescent="0.3">
      <c r="A40" s="17">
        <v>37</v>
      </c>
      <c r="B40" s="17" t="s">
        <v>66</v>
      </c>
      <c r="C40" s="17" t="s">
        <v>67</v>
      </c>
      <c r="D40" s="17">
        <v>1</v>
      </c>
      <c r="E40" s="17" t="str">
        <f>VLOOKUP(B40,[1]Sheet2!B$1:E$58,4,0)</f>
        <v>SHEET</v>
      </c>
      <c r="F40" s="17" t="s">
        <v>10</v>
      </c>
      <c r="G40" s="17" t="s">
        <v>11</v>
      </c>
      <c r="H40" s="17">
        <v>1</v>
      </c>
    </row>
    <row r="41" spans="1:8" ht="15" x14ac:dyDescent="0.3">
      <c r="A41" s="17">
        <v>38</v>
      </c>
      <c r="B41" s="17" t="s">
        <v>68</v>
      </c>
      <c r="C41" s="17" t="s">
        <v>69</v>
      </c>
      <c r="D41" s="17">
        <v>2</v>
      </c>
      <c r="E41" s="17" t="str">
        <f>VLOOKUP(B41,[1]Sheet2!B$1:E$58,4,0)</f>
        <v>OEM</v>
      </c>
      <c r="F41" s="17" t="s">
        <v>15</v>
      </c>
      <c r="G41" s="17"/>
      <c r="H41" s="17">
        <v>2</v>
      </c>
    </row>
    <row r="42" spans="1:8" ht="15" x14ac:dyDescent="0.3">
      <c r="A42" s="17">
        <v>39</v>
      </c>
      <c r="B42" s="17" t="s">
        <v>70</v>
      </c>
      <c r="C42" s="17"/>
      <c r="D42" s="17">
        <v>1</v>
      </c>
      <c r="E42" s="17" t="str">
        <f>VLOOKUP(B42,[1]Sheet2!B$1:E$58,4,0)</f>
        <v>OEM</v>
      </c>
      <c r="F42" s="17" t="s">
        <v>15</v>
      </c>
      <c r="G42" s="17"/>
      <c r="H42" s="17">
        <v>1</v>
      </c>
    </row>
    <row r="43" spans="1:8" ht="15" x14ac:dyDescent="0.3">
      <c r="A43" s="17">
        <v>40</v>
      </c>
      <c r="B43" s="17" t="s">
        <v>71</v>
      </c>
      <c r="C43" s="17" t="s">
        <v>72</v>
      </c>
      <c r="D43" s="17">
        <v>1</v>
      </c>
      <c r="E43" s="17" t="str">
        <f>VLOOKUP(B43,[1]Sheet2!B$1:E$58,4,0)</f>
        <v>OEM</v>
      </c>
      <c r="F43" s="17" t="s">
        <v>15</v>
      </c>
      <c r="G43" s="17"/>
      <c r="H43" s="17">
        <v>1</v>
      </c>
    </row>
    <row r="44" spans="1:8" ht="15" x14ac:dyDescent="0.3">
      <c r="A44" s="17">
        <v>41</v>
      </c>
      <c r="B44" s="19" t="s">
        <v>73</v>
      </c>
      <c r="C44" s="17" t="s">
        <v>74</v>
      </c>
      <c r="D44" s="17">
        <v>2</v>
      </c>
      <c r="E44" s="17" t="str">
        <f>VLOOKUP(B44,[1]Sheet2!B$1:E$58,4,0)</f>
        <v>OEM</v>
      </c>
      <c r="F44" s="17" t="s">
        <v>15</v>
      </c>
      <c r="G44" s="17"/>
      <c r="H44" s="17">
        <v>2</v>
      </c>
    </row>
    <row r="45" spans="1:8" ht="15" x14ac:dyDescent="0.3">
      <c r="A45" s="17">
        <v>42</v>
      </c>
      <c r="B45" s="20" t="s">
        <v>75</v>
      </c>
      <c r="C45" s="17" t="s">
        <v>76</v>
      </c>
      <c r="D45" s="17">
        <v>2</v>
      </c>
      <c r="E45" s="17" t="str">
        <f>VLOOKUP(B45,[1]Sheet2!B$1:E$58,4,0)</f>
        <v>ASSEMBLY</v>
      </c>
      <c r="F45" s="17" t="s">
        <v>10</v>
      </c>
      <c r="G45" s="17" t="s">
        <v>11</v>
      </c>
      <c r="H45" s="17">
        <v>2</v>
      </c>
    </row>
    <row r="46" spans="1:8" ht="15" x14ac:dyDescent="0.3">
      <c r="A46" s="17">
        <v>43</v>
      </c>
      <c r="B46" s="20" t="s">
        <v>77</v>
      </c>
      <c r="C46" s="17" t="s">
        <v>32</v>
      </c>
      <c r="D46" s="17">
        <v>1</v>
      </c>
      <c r="E46" s="17" t="str">
        <f>VLOOKUP(B46,[1]Sheet2!B$1:E$58,4,0)</f>
        <v>ASSEMBLY</v>
      </c>
      <c r="F46" s="17" t="s">
        <v>10</v>
      </c>
      <c r="G46" s="17" t="s">
        <v>11</v>
      </c>
      <c r="H46" s="17">
        <v>1</v>
      </c>
    </row>
    <row r="47" spans="1:8" ht="15" x14ac:dyDescent="0.3">
      <c r="A47" s="17">
        <v>44</v>
      </c>
      <c r="B47" s="20" t="s">
        <v>78</v>
      </c>
      <c r="C47" s="17" t="s">
        <v>79</v>
      </c>
      <c r="D47" s="17">
        <v>1</v>
      </c>
      <c r="E47" s="17" t="str">
        <f>VLOOKUP(B47,[1]Sheet2!B$1:E$58,4,0)</f>
        <v>WELDMENT</v>
      </c>
      <c r="F47" s="17" t="s">
        <v>10</v>
      </c>
      <c r="G47" s="17" t="s">
        <v>11</v>
      </c>
      <c r="H47" s="17">
        <v>1</v>
      </c>
    </row>
    <row r="48" spans="1:8" ht="15" x14ac:dyDescent="0.3">
      <c r="A48" s="17">
        <v>45</v>
      </c>
      <c r="B48" s="21" t="s">
        <v>80</v>
      </c>
      <c r="C48" s="17" t="s">
        <v>81</v>
      </c>
      <c r="D48" s="17">
        <v>1</v>
      </c>
      <c r="E48" s="17" t="s">
        <v>82</v>
      </c>
      <c r="F48" s="17" t="s">
        <v>10</v>
      </c>
      <c r="G48" s="17" t="s">
        <v>11</v>
      </c>
      <c r="H48" s="17">
        <v>1</v>
      </c>
    </row>
    <row r="49" spans="1:8" ht="15" x14ac:dyDescent="0.3">
      <c r="A49" s="17">
        <v>46</v>
      </c>
      <c r="B49" s="17" t="s">
        <v>83</v>
      </c>
      <c r="C49" s="17" t="s">
        <v>84</v>
      </c>
      <c r="D49" s="17">
        <v>8</v>
      </c>
      <c r="E49" s="17" t="s">
        <v>85</v>
      </c>
      <c r="F49" s="17" t="s">
        <v>15</v>
      </c>
      <c r="G49" s="17" t="s">
        <v>11</v>
      </c>
      <c r="H49" s="17">
        <v>8</v>
      </c>
    </row>
    <row r="50" spans="1:8" ht="15" x14ac:dyDescent="0.3">
      <c r="A50" s="17">
        <v>47</v>
      </c>
      <c r="B50" s="17" t="s">
        <v>86</v>
      </c>
      <c r="C50" s="17" t="s">
        <v>87</v>
      </c>
      <c r="D50" s="17">
        <v>12</v>
      </c>
      <c r="E50" s="17" t="s">
        <v>85</v>
      </c>
      <c r="F50" s="17" t="s">
        <v>15</v>
      </c>
      <c r="G50" s="17"/>
      <c r="H50" s="17">
        <v>12</v>
      </c>
    </row>
    <row r="51" spans="1:8" ht="15" x14ac:dyDescent="0.3">
      <c r="A51" s="17">
        <v>48</v>
      </c>
      <c r="B51" s="22" t="s">
        <v>88</v>
      </c>
      <c r="C51" s="17" t="s">
        <v>89</v>
      </c>
      <c r="D51" s="17">
        <v>4</v>
      </c>
      <c r="E51" s="17" t="s">
        <v>90</v>
      </c>
      <c r="F51" s="17" t="s">
        <v>10</v>
      </c>
      <c r="G51" s="17" t="s">
        <v>11</v>
      </c>
      <c r="H51" s="17">
        <v>4</v>
      </c>
    </row>
    <row r="52" spans="1:8" ht="15" x14ac:dyDescent="0.3">
      <c r="A52" s="17">
        <v>49</v>
      </c>
      <c r="B52" s="17" t="s">
        <v>91</v>
      </c>
      <c r="C52" s="17" t="s">
        <v>92</v>
      </c>
      <c r="D52" s="17">
        <v>2</v>
      </c>
      <c r="E52" s="17" t="s">
        <v>93</v>
      </c>
      <c r="F52" s="17" t="s">
        <v>10</v>
      </c>
      <c r="G52" s="17" t="s">
        <v>11</v>
      </c>
      <c r="H52" s="17">
        <v>2</v>
      </c>
    </row>
    <row r="53" spans="1:8" ht="15" x14ac:dyDescent="0.3">
      <c r="A53" s="17">
        <v>50</v>
      </c>
      <c r="B53" s="18" t="s">
        <v>94</v>
      </c>
      <c r="C53" s="17" t="s">
        <v>59</v>
      </c>
      <c r="D53" s="17">
        <v>1</v>
      </c>
      <c r="E53" s="17" t="s">
        <v>82</v>
      </c>
      <c r="F53" s="17" t="s">
        <v>10</v>
      </c>
      <c r="G53" s="17" t="s">
        <v>11</v>
      </c>
      <c r="H53" s="17">
        <v>1</v>
      </c>
    </row>
    <row r="54" spans="1:8" ht="15" x14ac:dyDescent="0.3">
      <c r="A54" s="17">
        <v>51</v>
      </c>
      <c r="B54" s="17" t="s">
        <v>95</v>
      </c>
      <c r="C54" s="17" t="s">
        <v>96</v>
      </c>
      <c r="D54" s="17">
        <v>6</v>
      </c>
      <c r="E54" s="17" t="s">
        <v>85</v>
      </c>
      <c r="F54" s="17" t="s">
        <v>15</v>
      </c>
      <c r="G54" s="17" t="s">
        <v>11</v>
      </c>
      <c r="H54" s="17">
        <v>6</v>
      </c>
    </row>
    <row r="55" spans="1:8" ht="15" x14ac:dyDescent="0.3">
      <c r="A55" s="17">
        <v>52</v>
      </c>
      <c r="B55" s="17" t="s">
        <v>97</v>
      </c>
      <c r="C55" s="17" t="s">
        <v>96</v>
      </c>
      <c r="D55" s="17">
        <v>4</v>
      </c>
      <c r="E55" s="17" t="s">
        <v>85</v>
      </c>
      <c r="F55" s="17" t="s">
        <v>15</v>
      </c>
      <c r="G55" s="17" t="s">
        <v>11</v>
      </c>
      <c r="H55" s="17">
        <v>4</v>
      </c>
    </row>
    <row r="56" spans="1:8" ht="15" x14ac:dyDescent="0.3">
      <c r="A56" s="17">
        <v>53</v>
      </c>
      <c r="B56" s="18" t="s">
        <v>98</v>
      </c>
      <c r="C56" s="17" t="s">
        <v>96</v>
      </c>
      <c r="D56" s="17">
        <v>1</v>
      </c>
      <c r="E56" s="17" t="s">
        <v>82</v>
      </c>
      <c r="F56" s="17" t="s">
        <v>10</v>
      </c>
      <c r="G56" s="17" t="s">
        <v>11</v>
      </c>
      <c r="H56" s="17">
        <v>1</v>
      </c>
    </row>
    <row r="57" spans="1:8" ht="15" x14ac:dyDescent="0.3">
      <c r="A57" s="17">
        <v>54</v>
      </c>
      <c r="B57" s="17" t="s">
        <v>99</v>
      </c>
      <c r="C57" s="17" t="s">
        <v>100</v>
      </c>
      <c r="D57" s="17">
        <v>2</v>
      </c>
      <c r="E57" s="17" t="s">
        <v>90</v>
      </c>
      <c r="F57" s="17" t="s">
        <v>10</v>
      </c>
      <c r="G57" s="17" t="s">
        <v>11</v>
      </c>
      <c r="H57" s="17">
        <v>2</v>
      </c>
    </row>
    <row r="58" spans="1:8" ht="15" x14ac:dyDescent="0.3">
      <c r="A58" s="17">
        <v>55</v>
      </c>
      <c r="B58" s="17" t="s">
        <v>101</v>
      </c>
      <c r="C58" s="17" t="s">
        <v>96</v>
      </c>
      <c r="D58" s="17">
        <v>6</v>
      </c>
      <c r="E58" s="17" t="s">
        <v>90</v>
      </c>
      <c r="F58" s="17" t="s">
        <v>10</v>
      </c>
      <c r="G58" s="17" t="s">
        <v>11</v>
      </c>
      <c r="H58" s="17">
        <v>6</v>
      </c>
    </row>
    <row r="59" spans="1:8" ht="15" x14ac:dyDescent="0.3">
      <c r="A59" s="17">
        <v>56</v>
      </c>
      <c r="B59" s="17" t="s">
        <v>102</v>
      </c>
      <c r="C59" s="17" t="s">
        <v>96</v>
      </c>
      <c r="D59" s="17">
        <v>6</v>
      </c>
      <c r="E59" s="17" t="s">
        <v>90</v>
      </c>
      <c r="F59" s="17" t="s">
        <v>10</v>
      </c>
      <c r="G59" s="17" t="s">
        <v>11</v>
      </c>
      <c r="H59" s="17">
        <v>6</v>
      </c>
    </row>
    <row r="60" spans="1:8" ht="15" x14ac:dyDescent="0.3">
      <c r="A60" s="17">
        <v>57</v>
      </c>
      <c r="B60" s="17" t="s">
        <v>103</v>
      </c>
      <c r="C60" s="17" t="s">
        <v>96</v>
      </c>
      <c r="D60" s="17">
        <v>6</v>
      </c>
      <c r="E60" s="17" t="s">
        <v>90</v>
      </c>
      <c r="F60" s="17" t="s">
        <v>10</v>
      </c>
      <c r="G60" s="17" t="s">
        <v>11</v>
      </c>
      <c r="H60" s="17">
        <v>6</v>
      </c>
    </row>
    <row r="61" spans="1:8" ht="15" x14ac:dyDescent="0.3">
      <c r="A61" s="17">
        <v>58</v>
      </c>
      <c r="B61" s="17" t="s">
        <v>104</v>
      </c>
      <c r="C61" s="17" t="s">
        <v>100</v>
      </c>
      <c r="D61" s="17">
        <v>2</v>
      </c>
      <c r="E61" s="17" t="s">
        <v>85</v>
      </c>
      <c r="F61" s="17" t="s">
        <v>15</v>
      </c>
      <c r="G61" s="17" t="s">
        <v>11</v>
      </c>
      <c r="H61" s="17">
        <v>2</v>
      </c>
    </row>
    <row r="62" spans="1:8" ht="15" x14ac:dyDescent="0.3">
      <c r="A62" s="17">
        <v>59</v>
      </c>
      <c r="B62" s="23" t="s">
        <v>105</v>
      </c>
      <c r="C62" s="17" t="s">
        <v>106</v>
      </c>
      <c r="D62" s="17">
        <v>8</v>
      </c>
      <c r="E62" s="17" t="s">
        <v>85</v>
      </c>
      <c r="F62" s="17" t="s">
        <v>15</v>
      </c>
      <c r="G62" s="17"/>
      <c r="H62" s="17">
        <v>8</v>
      </c>
    </row>
    <row r="63" spans="1:8" ht="30" x14ac:dyDescent="0.3">
      <c r="A63" s="17">
        <v>60</v>
      </c>
      <c r="B63" s="17" t="s">
        <v>107</v>
      </c>
      <c r="C63" s="17" t="s">
        <v>107</v>
      </c>
      <c r="D63" s="17">
        <v>4</v>
      </c>
      <c r="E63" s="17" t="s">
        <v>85</v>
      </c>
      <c r="F63" s="17" t="s">
        <v>15</v>
      </c>
      <c r="G63" s="17"/>
      <c r="H63" s="17">
        <v>4</v>
      </c>
    </row>
    <row r="64" spans="1:8" ht="15" x14ac:dyDescent="0.3">
      <c r="A64" s="17">
        <v>61</v>
      </c>
      <c r="B64" s="23" t="s">
        <v>108</v>
      </c>
      <c r="C64" s="17"/>
      <c r="D64" s="17">
        <v>4</v>
      </c>
      <c r="E64" s="17" t="s">
        <v>85</v>
      </c>
      <c r="F64" s="17" t="s">
        <v>15</v>
      </c>
      <c r="G64" s="17"/>
      <c r="H64" s="17">
        <v>4</v>
      </c>
    </row>
    <row r="65" spans="1:7" ht="15" x14ac:dyDescent="0.3">
      <c r="A65" s="13"/>
      <c r="B65" s="14"/>
      <c r="C65" s="13"/>
      <c r="D65" s="13"/>
      <c r="E65" s="13"/>
      <c r="F65" s="13"/>
      <c r="G65" s="13"/>
    </row>
    <row r="66" spans="1:7" ht="15" x14ac:dyDescent="0.3">
      <c r="A66" s="2"/>
      <c r="B66" s="4"/>
      <c r="C66" s="3" t="s">
        <v>109</v>
      </c>
      <c r="D66" s="2"/>
      <c r="E66" s="2"/>
      <c r="F66" s="2"/>
      <c r="G66" s="2"/>
    </row>
    <row r="67" spans="1:7" ht="30" x14ac:dyDescent="0.3">
      <c r="A67" s="2"/>
      <c r="B67" s="4"/>
      <c r="C67" s="5" t="s">
        <v>110</v>
      </c>
      <c r="D67" s="2"/>
      <c r="E67" s="2"/>
      <c r="F67" s="2"/>
      <c r="G67" s="2"/>
    </row>
  </sheetData>
  <dataConsolidate/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86"/>
  <sheetViews>
    <sheetView tabSelected="1" zoomScaleNormal="100" workbookViewId="0">
      <pane xSplit="1" ySplit="3" topLeftCell="C4" activePane="bottomRight" state="frozen"/>
      <selection pane="topRight" activeCell="B1" sqref="B1"/>
      <selection pane="bottomLeft" activeCell="A4" sqref="A4"/>
      <selection pane="bottomRight" activeCell="I6" sqref="I6"/>
    </sheetView>
  </sheetViews>
  <sheetFormatPr defaultRowHeight="14.4" x14ac:dyDescent="0.3"/>
  <cols>
    <col min="1" max="1" width="12.44140625" style="29" customWidth="1"/>
    <col min="2" max="2" width="20.6640625" customWidth="1"/>
    <col min="3" max="3" width="38" customWidth="1"/>
    <col min="4" max="4" width="9.77734375" customWidth="1"/>
    <col min="5" max="5" width="15.109375" customWidth="1"/>
    <col min="6" max="6" width="17.6640625" customWidth="1"/>
    <col min="7" max="7" width="18.88671875" customWidth="1"/>
    <col min="8" max="8" width="15.21875" style="8" customWidth="1"/>
    <col min="9" max="1003" width="8.5546875" customWidth="1"/>
  </cols>
  <sheetData>
    <row r="1" spans="1:9" ht="16.95" customHeight="1" x14ac:dyDescent="0.3">
      <c r="A1" s="32" t="s">
        <v>8</v>
      </c>
      <c r="B1" s="32"/>
      <c r="C1" s="32"/>
      <c r="D1" s="32"/>
      <c r="E1" s="32"/>
      <c r="F1" s="32"/>
      <c r="G1" s="32"/>
    </row>
    <row r="2" spans="1:9" ht="16.95" customHeight="1" x14ac:dyDescent="0.3">
      <c r="A2" s="32"/>
      <c r="B2" s="32"/>
      <c r="C2" s="32"/>
      <c r="D2" s="32"/>
      <c r="E2" s="32"/>
      <c r="F2" s="32"/>
      <c r="G2" s="32"/>
    </row>
    <row r="3" spans="1:9" ht="16.95" customHeight="1" x14ac:dyDescent="0.3">
      <c r="A3" s="30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1" t="s">
        <v>7</v>
      </c>
      <c r="H3" s="12"/>
    </row>
    <row r="4" spans="1:9" ht="16.95" customHeight="1" x14ac:dyDescent="0.3">
      <c r="A4" s="28">
        <v>1</v>
      </c>
      <c r="B4" s="2" t="s">
        <v>111</v>
      </c>
      <c r="C4" s="2" t="s">
        <v>93</v>
      </c>
      <c r="D4" s="2">
        <v>2</v>
      </c>
      <c r="E4" s="2" t="s">
        <v>93</v>
      </c>
      <c r="F4" s="2" t="s">
        <v>10</v>
      </c>
      <c r="G4" s="9" t="s">
        <v>11</v>
      </c>
      <c r="H4" s="10">
        <f>IF(ISNUMBER(A4),IF(INT(A4)=A4,D4*VLOOKUP($A$1,'TOP LEVEL'!$B$4:$D$64,3,0),(VLOOKUP(INT(A4),$A$4:$D$86,4,0)*D4)*VLOOKUP($A$1,'TOP LEVEL'!$B$4:$D$64,3,0)),"FIND MANUALLY")</f>
        <v>4</v>
      </c>
      <c r="I4">
        <f>IF((LEN(A4)-LEN(SUBSTITUTE(A4,".","")))=0,D4*VLOOKUP($A$1,'TOP LEVEL'!$B$4:$D$64,3,0),D4*VLOOKUP(IF((LEN(A4)-LEN(SUBSTITUTE(A4,".","")))&lt;=2,VALUE(LEFT(A4,(FIND("@",SUBSTITUTE(A4,".","@",LEN(A4)-LEN(SUBSTITUTE(A4,".",""))),1))-1)),LEFT(A4,(FIND("@",SUBSTITUTE(A4,".","@",LEN(A4)-LEN(SUBSTITUTE(A4,".",""))),1))-1)),$A$4:$I$86,COLUMN(I4),0))</f>
        <v>4</v>
      </c>
    </row>
    <row r="5" spans="1:9" ht="16.95" customHeight="1" x14ac:dyDescent="0.3">
      <c r="A5" s="28">
        <v>2</v>
      </c>
      <c r="B5" s="2" t="s">
        <v>112</v>
      </c>
      <c r="C5" s="2"/>
      <c r="D5" s="2">
        <v>2</v>
      </c>
      <c r="E5" s="2" t="s">
        <v>90</v>
      </c>
      <c r="F5" s="2" t="s">
        <v>10</v>
      </c>
      <c r="G5" s="9" t="s">
        <v>11</v>
      </c>
      <c r="H5" s="10">
        <f>IF(ISNUMBER(A5),IF(INT(A5)=A5,D5*VLOOKUP($A$1,'TOP LEVEL'!$B$4:$D$64,3,0),(VLOOKUP(INT(A5),$A$4:$D$86,4,0)*D5)*VLOOKUP($A$1,'TOP LEVEL'!$B$4:$D$64,3,0)),"FIND MANUALLY")</f>
        <v>4</v>
      </c>
      <c r="I5">
        <f>IF((LEN(A5)-LEN(SUBSTITUTE(A5,".","")))=0,D5*VLOOKUP($A$1,'TOP LEVEL'!$B$4:$D$64,3,0),D5*VLOOKUP(IF((LEN(A5)-LEN(SUBSTITUTE(A5,".","")))&lt;=2,VALUE(LEFT(A5,(FIND("@",SUBSTITUTE(A5,".","@",LEN(A5)-LEN(SUBSTITUTE(A5,".",""))),1))-1)),LEFT(A5,(FIND("@",SUBSTITUTE(A5,".","@",LEN(A5)-LEN(SUBSTITUTE(A5,".",""))),1))-1)),$A$4:$I$86,COLUMN(I5),0))</f>
        <v>4</v>
      </c>
    </row>
    <row r="6" spans="1:9" ht="16.95" customHeight="1" x14ac:dyDescent="0.3">
      <c r="A6" s="28">
        <v>3</v>
      </c>
      <c r="B6" s="2" t="s">
        <v>113</v>
      </c>
      <c r="C6" s="2"/>
      <c r="D6" s="2">
        <v>1</v>
      </c>
      <c r="E6" s="2" t="s">
        <v>90</v>
      </c>
      <c r="F6" s="2" t="s">
        <v>10</v>
      </c>
      <c r="G6" s="9" t="s">
        <v>11</v>
      </c>
      <c r="H6" s="10">
        <f>IF(ISNUMBER(A6),IF(INT(A6)=A6,D6*VLOOKUP($A$1,'TOP LEVEL'!$B$4:$D$64,3,0),(VLOOKUP(INT(A6),$A$4:$D$86,4,0)*D6)*VLOOKUP($A$1,'TOP LEVEL'!$B$4:$D$64,3,0)),"FIND MANUALLY")</f>
        <v>2</v>
      </c>
      <c r="I6">
        <f>IF((LEN(A6)-LEN(SUBSTITUTE(A6,".","")))=0,D6*VLOOKUP($A$1,'TOP LEVEL'!$B$4:$D$64,3,0),D6*VLOOKUP(IF((LEN(A6)-LEN(SUBSTITUTE(A6,".","")))&lt;=2,VALUE(LEFT(A6,(FIND("@",SUBSTITUTE(A6,".","@",LEN(A6)-LEN(SUBSTITUTE(A6,".",""))),1))-1)),LEFT(A6,(FIND("@",SUBSTITUTE(A6,".","@",LEN(A6)-LEN(SUBSTITUTE(A6,".",""))),1))-1)),$A$4:$I$86,COLUMN(I6),0))</f>
        <v>2</v>
      </c>
    </row>
    <row r="7" spans="1:9" ht="16.95" customHeight="1" x14ac:dyDescent="0.3">
      <c r="A7" s="28">
        <v>4</v>
      </c>
      <c r="B7" s="2" t="s">
        <v>114</v>
      </c>
      <c r="C7" s="2"/>
      <c r="D7" s="2">
        <v>2</v>
      </c>
      <c r="E7" s="2" t="s">
        <v>90</v>
      </c>
      <c r="F7" s="2" t="s">
        <v>10</v>
      </c>
      <c r="G7" s="9" t="s">
        <v>11</v>
      </c>
      <c r="H7" s="10">
        <f>IF(ISNUMBER(A7),IF(INT(A7)=A7,D7*VLOOKUP($A$1,'TOP LEVEL'!$B$4:$D$64,3,0),(VLOOKUP(INT(A7),$A$4:$D$86,4,0)*D7)*VLOOKUP($A$1,'TOP LEVEL'!$B$4:$D$64,3,0)),"FIND MANUALLY")</f>
        <v>4</v>
      </c>
      <c r="I7">
        <f>IF((LEN(A7)-LEN(SUBSTITUTE(A7,".","")))=0,D7*VLOOKUP($A$1,'TOP LEVEL'!$B$4:$D$64,3,0),D7*VLOOKUP(IF((LEN(A7)-LEN(SUBSTITUTE(A7,".","")))&lt;=2,VALUE(LEFT(A7,(FIND("@",SUBSTITUTE(A7,".","@",LEN(A7)-LEN(SUBSTITUTE(A7,".",""))),1))-1)),LEFT(A7,(FIND("@",SUBSTITUTE(A7,".","@",LEN(A7)-LEN(SUBSTITUTE(A7,".",""))),1))-1)),$A$4:$I$86,COLUMN(I7),0))</f>
        <v>4</v>
      </c>
    </row>
    <row r="8" spans="1:9" ht="16.95" customHeight="1" x14ac:dyDescent="0.3">
      <c r="A8" s="28">
        <v>5</v>
      </c>
      <c r="B8" s="2" t="s">
        <v>115</v>
      </c>
      <c r="C8" s="2" t="s">
        <v>116</v>
      </c>
      <c r="D8" s="2">
        <v>2</v>
      </c>
      <c r="E8" s="2" t="s">
        <v>82</v>
      </c>
      <c r="F8" s="2" t="s">
        <v>10</v>
      </c>
      <c r="G8" s="9" t="s">
        <v>11</v>
      </c>
      <c r="H8" s="10">
        <f>IF(ISNUMBER(A8),IF(INT(A8)=A8,D8*VLOOKUP($A$1,'TOP LEVEL'!$B$4:$D$64,3,0),(VLOOKUP(INT(A8),$A$4:$D$86,4,0)*D8)*VLOOKUP($A$1,'TOP LEVEL'!$B$4:$D$64,3,0)),"FIND MANUALLY")</f>
        <v>4</v>
      </c>
      <c r="I8">
        <f>IF((LEN(A8)-LEN(SUBSTITUTE(A8,".","")))=0,D8*VLOOKUP($A$1,'TOP LEVEL'!$B$4:$D$64,3,0),D8*VLOOKUP(IF((LEN(A8)-LEN(SUBSTITUTE(A8,".","")))&lt;=2,VALUE(LEFT(A8,(FIND("@",SUBSTITUTE(A8,".","@",LEN(A8)-LEN(SUBSTITUTE(A8,".",""))),1))-1)),LEFT(A8,(FIND("@",SUBSTITUTE(A8,".","@",LEN(A8)-LEN(SUBSTITUTE(A8,".",""))),1))-1)),$A$4:$I$86,COLUMN(I8),0))</f>
        <v>4</v>
      </c>
    </row>
    <row r="9" spans="1:9" ht="16.95" customHeight="1" x14ac:dyDescent="0.3">
      <c r="A9" s="28">
        <v>5.0999999999999996</v>
      </c>
      <c r="B9" s="2" t="s">
        <v>117</v>
      </c>
      <c r="C9" s="2" t="s">
        <v>93</v>
      </c>
      <c r="D9" s="2">
        <v>1</v>
      </c>
      <c r="E9" s="2" t="s">
        <v>93</v>
      </c>
      <c r="F9" s="2" t="s">
        <v>10</v>
      </c>
      <c r="G9" s="9" t="s">
        <v>11</v>
      </c>
      <c r="H9" s="10">
        <f>IF(ISNUMBER(A9),IF(INT(A9)=A9,D9*VLOOKUP($A$1,'TOP LEVEL'!$B$4:$D$64,3,0),(VLOOKUP(INT(A9),$A$4:$D$86,4,0)*D9)*VLOOKUP($A$1,'TOP LEVEL'!$B$4:$D$64,3,0)),"FIND MANUALLY")</f>
        <v>4</v>
      </c>
      <c r="I9">
        <f>IF((LEN(A9)-LEN(SUBSTITUTE(A9,".","")))=0,D9*VLOOKUP($A$1,'TOP LEVEL'!$B$4:$D$64,3,0),D9*VLOOKUP(IF((LEN(A9)-LEN(SUBSTITUTE(A9,".","")))&lt;=2,VALUE(LEFT(A9,(FIND("@",SUBSTITUTE(A9,".","@",LEN(A9)-LEN(SUBSTITUTE(A9,".",""))),1))-1)),LEFT(A9,(FIND("@",SUBSTITUTE(A9,".","@",LEN(A9)-LEN(SUBSTITUTE(A9,".",""))),1))-1)),$A$4:$I$86,COLUMN(I9),0))</f>
        <v>4</v>
      </c>
    </row>
    <row r="10" spans="1:9" ht="16.95" customHeight="1" x14ac:dyDescent="0.3">
      <c r="A10" s="28">
        <v>5.2</v>
      </c>
      <c r="B10" s="2" t="s">
        <v>118</v>
      </c>
      <c r="C10" s="2" t="s">
        <v>93</v>
      </c>
      <c r="D10" s="2">
        <v>2</v>
      </c>
      <c r="E10" s="2" t="s">
        <v>93</v>
      </c>
      <c r="F10" s="2" t="s">
        <v>10</v>
      </c>
      <c r="G10" s="9" t="s">
        <v>11</v>
      </c>
      <c r="H10" s="10">
        <f>IF(ISNUMBER(A10),IF(INT(A10)=A10,D10*VLOOKUP($A$1,'TOP LEVEL'!$B$4:$D$64,3,0),(VLOOKUP(INT(A10),$A$4:$D$86,4,0)*D10)*VLOOKUP($A$1,'TOP LEVEL'!$B$4:$D$64,3,0)),"FIND MANUALLY")</f>
        <v>8</v>
      </c>
      <c r="I10">
        <f>IF((LEN(A10)-LEN(SUBSTITUTE(A10,".","")))=0,D10*VLOOKUP($A$1,'TOP LEVEL'!$B$4:$D$64,3,0),D10*VLOOKUP(IF((LEN(A10)-LEN(SUBSTITUTE(A10,".","")))&lt;=2,VALUE(LEFT(A10,(FIND("@",SUBSTITUTE(A10,".","@",LEN(A10)-LEN(SUBSTITUTE(A10,".",""))),1))-1)),LEFT(A10,(FIND("@",SUBSTITUTE(A10,".","@",LEN(A10)-LEN(SUBSTITUTE(A10,".",""))),1))-1)),$A$4:$I$86,COLUMN(I10),0))</f>
        <v>8</v>
      </c>
    </row>
    <row r="11" spans="1:9" ht="16.95" customHeight="1" x14ac:dyDescent="0.3">
      <c r="A11" s="28">
        <v>5.3</v>
      </c>
      <c r="B11" s="2" t="s">
        <v>119</v>
      </c>
      <c r="C11" s="2" t="s">
        <v>120</v>
      </c>
      <c r="D11" s="2">
        <v>1</v>
      </c>
      <c r="E11" s="2" t="s">
        <v>90</v>
      </c>
      <c r="F11" s="2" t="s">
        <v>10</v>
      </c>
      <c r="G11" s="9" t="s">
        <v>11</v>
      </c>
      <c r="H11" s="10">
        <f>IF(ISNUMBER(A11),IF(INT(A11)=A11,D11*VLOOKUP($A$1,'TOP LEVEL'!$B$4:$D$64,3,0),(VLOOKUP(INT(A11),$A$4:$D$86,4,0)*D11)*VLOOKUP($A$1,'TOP LEVEL'!$B$4:$D$64,3,0)),"FIND MANUALLY")</f>
        <v>4</v>
      </c>
      <c r="I11">
        <f>IF((LEN(A11)-LEN(SUBSTITUTE(A11,".","")))=0,D11*VLOOKUP($A$1,'TOP LEVEL'!$B$4:$D$64,3,0),D11*VLOOKUP(IF((LEN(A11)-LEN(SUBSTITUTE(A11,".","")))&lt;=2,VALUE(LEFT(A11,(FIND("@",SUBSTITUTE(A11,".","@",LEN(A11)-LEN(SUBSTITUTE(A11,".",""))),1))-1)),LEFT(A11,(FIND("@",SUBSTITUTE(A11,".","@",LEN(A11)-LEN(SUBSTITUTE(A11,".",""))),1))-1)),$A$4:$I$86,COLUMN(I11),0))</f>
        <v>4</v>
      </c>
    </row>
    <row r="12" spans="1:9" ht="16.95" customHeight="1" x14ac:dyDescent="0.3">
      <c r="A12" s="28">
        <v>6</v>
      </c>
      <c r="B12" s="2" t="s">
        <v>121</v>
      </c>
      <c r="C12" s="2" t="s">
        <v>81</v>
      </c>
      <c r="D12" s="2">
        <v>1</v>
      </c>
      <c r="E12" s="2" t="s">
        <v>82</v>
      </c>
      <c r="F12" s="2" t="s">
        <v>10</v>
      </c>
      <c r="G12" s="9" t="s">
        <v>11</v>
      </c>
      <c r="H12" s="10">
        <f>IF(ISNUMBER(A12),IF(INT(A12)=A12,D12*VLOOKUP($A$1,'TOP LEVEL'!$B$4:$D$64,3,0),(VLOOKUP(INT(A12),$A$4:$D$86,4,0)*D12)*VLOOKUP($A$1,'TOP LEVEL'!$B$4:$D$64,3,0)),"FIND MANUALLY")</f>
        <v>2</v>
      </c>
      <c r="I12">
        <f>IF((LEN(A12)-LEN(SUBSTITUTE(A12,".","")))=0,D12*VLOOKUP($A$1,'TOP LEVEL'!$B$4:$D$64,3,0),D12*VLOOKUP(IF((LEN(A12)-LEN(SUBSTITUTE(A12,".","")))&lt;=2,VALUE(LEFT(A12,(FIND("@",SUBSTITUTE(A12,".","@",LEN(A12)-LEN(SUBSTITUTE(A12,".",""))),1))-1)),LEFT(A12,(FIND("@",SUBSTITUTE(A12,".","@",LEN(A12)-LEN(SUBSTITUTE(A12,".",""))),1))-1)),$A$4:$I$86,COLUMN(I12),0))</f>
        <v>2</v>
      </c>
    </row>
    <row r="13" spans="1:9" ht="16.95" customHeight="1" x14ac:dyDescent="0.3">
      <c r="A13" s="28">
        <v>6.1</v>
      </c>
      <c r="B13" s="2" t="s">
        <v>400</v>
      </c>
      <c r="C13" s="2" t="s">
        <v>90</v>
      </c>
      <c r="D13" s="2">
        <v>2</v>
      </c>
      <c r="E13" s="2" t="s">
        <v>90</v>
      </c>
      <c r="F13" s="2" t="s">
        <v>10</v>
      </c>
      <c r="G13" s="9" t="s">
        <v>11</v>
      </c>
      <c r="H13" s="10">
        <f>IF(ISNUMBER(A13),IF(INT(A13)=A13,D13*VLOOKUP($A$1,'TOP LEVEL'!$B$4:$D$64,3,0),(VLOOKUP(INT(A13),$A$4:$D$86,4,0)*D13)*VLOOKUP($A$1,'TOP LEVEL'!$B$4:$D$64,3,0)),"FIND MANUALLY")</f>
        <v>4</v>
      </c>
      <c r="I13">
        <f>IF((LEN(A13)-LEN(SUBSTITUTE(A13,".","")))=0,D13*VLOOKUP($A$1,'TOP LEVEL'!$B$4:$D$64,3,0),D13*VLOOKUP(IF((LEN(A13)-LEN(SUBSTITUTE(A13,".","")))&lt;=2,VALUE(LEFT(A13,(FIND("@",SUBSTITUTE(A13,".","@",LEN(A13)-LEN(SUBSTITUTE(A13,".",""))),1))-1)),LEFT(A13,(FIND("@",SUBSTITUTE(A13,".","@",LEN(A13)-LEN(SUBSTITUTE(A13,".",""))),1))-1)),$A$4:$I$86,COLUMN(I13),0))</f>
        <v>4</v>
      </c>
    </row>
    <row r="14" spans="1:9" ht="16.95" customHeight="1" x14ac:dyDescent="0.3">
      <c r="A14" s="28">
        <v>6.2</v>
      </c>
      <c r="B14" s="2" t="s">
        <v>122</v>
      </c>
      <c r="C14" s="2" t="s">
        <v>90</v>
      </c>
      <c r="D14" s="2">
        <v>1</v>
      </c>
      <c r="E14" s="2" t="s">
        <v>90</v>
      </c>
      <c r="F14" s="2" t="s">
        <v>10</v>
      </c>
      <c r="G14" s="9" t="s">
        <v>11</v>
      </c>
      <c r="H14" s="10">
        <f>IF(ISNUMBER(A14),IF(INT(A14)=A14,D14*VLOOKUP($A$1,'TOP LEVEL'!$B$4:$D$64,3,0),(VLOOKUP(INT(A14),$A$4:$D$86,4,0)*D14)*VLOOKUP($A$1,'TOP LEVEL'!$B$4:$D$64,3,0)),"FIND MANUALLY")</f>
        <v>2</v>
      </c>
      <c r="I14">
        <f>IF((LEN(A14)-LEN(SUBSTITUTE(A14,".","")))=0,D14*VLOOKUP($A$1,'TOP LEVEL'!$B$4:$D$64,3,0),D14*VLOOKUP(IF((LEN(A14)-LEN(SUBSTITUTE(A14,".","")))&lt;=2,VALUE(LEFT(A14,(FIND("@",SUBSTITUTE(A14,".","@",LEN(A14)-LEN(SUBSTITUTE(A14,".",""))),1))-1)),LEFT(A14,(FIND("@",SUBSTITUTE(A14,".","@",LEN(A14)-LEN(SUBSTITUTE(A14,".",""))),1))-1)),$A$4:$I$86,COLUMN(I14),0))</f>
        <v>2</v>
      </c>
    </row>
    <row r="15" spans="1:9" ht="16.95" customHeight="1" x14ac:dyDescent="0.3">
      <c r="A15" s="28">
        <v>6.3</v>
      </c>
      <c r="B15" s="2" t="s">
        <v>123</v>
      </c>
      <c r="C15" s="2" t="s">
        <v>90</v>
      </c>
      <c r="D15" s="2">
        <v>1</v>
      </c>
      <c r="E15" s="2" t="s">
        <v>90</v>
      </c>
      <c r="F15" s="2" t="s">
        <v>10</v>
      </c>
      <c r="G15" s="9" t="s">
        <v>11</v>
      </c>
      <c r="H15" s="10">
        <f>IF(ISNUMBER(A15),IF(INT(A15)=A15,D15*VLOOKUP($A$1,'TOP LEVEL'!$B$4:$D$64,3,0),(VLOOKUP(INT(A15),$A$4:$D$86,4,0)*D15)*VLOOKUP($A$1,'TOP LEVEL'!$B$4:$D$64,3,0)),"FIND MANUALLY")</f>
        <v>2</v>
      </c>
      <c r="I15">
        <f>IF((LEN(A15)-LEN(SUBSTITUTE(A15,".","")))=0,D15*VLOOKUP($A$1,'TOP LEVEL'!$B$4:$D$64,3,0),D15*VLOOKUP(IF((LEN(A15)-LEN(SUBSTITUTE(A15,".","")))&lt;=2,VALUE(LEFT(A15,(FIND("@",SUBSTITUTE(A15,".","@",LEN(A15)-LEN(SUBSTITUTE(A15,".",""))),1))-1)),LEFT(A15,(FIND("@",SUBSTITUTE(A15,".","@",LEN(A15)-LEN(SUBSTITUTE(A15,".",""))),1))-1)),$A$4:$I$86,COLUMN(I15),0))</f>
        <v>2</v>
      </c>
    </row>
    <row r="16" spans="1:9" ht="16.95" customHeight="1" x14ac:dyDescent="0.3">
      <c r="A16" s="28">
        <v>6.4</v>
      </c>
      <c r="B16" s="2" t="s">
        <v>124</v>
      </c>
      <c r="C16" s="2" t="s">
        <v>90</v>
      </c>
      <c r="D16" s="2">
        <v>3</v>
      </c>
      <c r="E16" s="2" t="s">
        <v>90</v>
      </c>
      <c r="F16" s="2" t="s">
        <v>10</v>
      </c>
      <c r="G16" s="9" t="s">
        <v>11</v>
      </c>
      <c r="H16" s="10">
        <f>IF(ISNUMBER(A16),IF(INT(A16)=A16,D16*VLOOKUP($A$1,'TOP LEVEL'!$B$4:$D$64,3,0),(VLOOKUP(INT(A16),$A$4:$D$86,4,0)*D16)*VLOOKUP($A$1,'TOP LEVEL'!$B$4:$D$64,3,0)),"FIND MANUALLY")</f>
        <v>6</v>
      </c>
      <c r="I16">
        <f>IF((LEN(A16)-LEN(SUBSTITUTE(A16,".","")))=0,D16*VLOOKUP($A$1,'TOP LEVEL'!$B$4:$D$64,3,0),D16*VLOOKUP(IF((LEN(A16)-LEN(SUBSTITUTE(A16,".","")))&lt;=2,VALUE(LEFT(A16,(FIND("@",SUBSTITUTE(A16,".","@",LEN(A16)-LEN(SUBSTITUTE(A16,".",""))),1))-1)),LEFT(A16,(FIND("@",SUBSTITUTE(A16,".","@",LEN(A16)-LEN(SUBSTITUTE(A16,".",""))),1))-1)),$A$4:$I$86,COLUMN(I16),0))</f>
        <v>6</v>
      </c>
    </row>
    <row r="17" spans="1:9" ht="16.95" customHeight="1" x14ac:dyDescent="0.3">
      <c r="A17" s="28">
        <v>6.5</v>
      </c>
      <c r="B17" s="2" t="s">
        <v>125</v>
      </c>
      <c r="C17" s="2" t="s">
        <v>126</v>
      </c>
      <c r="D17" s="2">
        <v>2</v>
      </c>
      <c r="E17" s="2" t="s">
        <v>90</v>
      </c>
      <c r="F17" s="2" t="s">
        <v>10</v>
      </c>
      <c r="G17" s="9" t="s">
        <v>11</v>
      </c>
      <c r="H17" s="10">
        <f>IF(ISNUMBER(A17),IF(INT(A17)=A17,D17*VLOOKUP($A$1,'TOP LEVEL'!$B$4:$D$64,3,0),(VLOOKUP(INT(A17),$A$4:$D$86,4,0)*D17)*VLOOKUP($A$1,'TOP LEVEL'!$B$4:$D$64,3,0)),"FIND MANUALLY")</f>
        <v>4</v>
      </c>
      <c r="I17">
        <f>IF((LEN(A17)-LEN(SUBSTITUTE(A17,".","")))=0,D17*VLOOKUP($A$1,'TOP LEVEL'!$B$4:$D$64,3,0),D17*VLOOKUP(IF((LEN(A17)-LEN(SUBSTITUTE(A17,".","")))&lt;=2,VALUE(LEFT(A17,(FIND("@",SUBSTITUTE(A17,".","@",LEN(A17)-LEN(SUBSTITUTE(A17,".",""))),1))-1)),LEFT(A17,(FIND("@",SUBSTITUTE(A17,".","@",LEN(A17)-LEN(SUBSTITUTE(A17,".",""))),1))-1)),$A$4:$I$86,COLUMN(I17),0))</f>
        <v>4</v>
      </c>
    </row>
    <row r="18" spans="1:9" ht="16.95" customHeight="1" x14ac:dyDescent="0.3">
      <c r="A18" s="28">
        <v>6.6</v>
      </c>
      <c r="B18" s="2" t="s">
        <v>127</v>
      </c>
      <c r="C18" s="2" t="s">
        <v>126</v>
      </c>
      <c r="D18" s="2">
        <v>2</v>
      </c>
      <c r="E18" s="2" t="s">
        <v>90</v>
      </c>
      <c r="F18" s="2" t="s">
        <v>10</v>
      </c>
      <c r="G18" s="9" t="s">
        <v>11</v>
      </c>
      <c r="H18" s="10">
        <f>IF(ISNUMBER(A18),IF(INT(A18)=A18,D18*VLOOKUP($A$1,'TOP LEVEL'!$B$4:$D$64,3,0),(VLOOKUP(INT(A18),$A$4:$D$86,4,0)*D18)*VLOOKUP($A$1,'TOP LEVEL'!$B$4:$D$64,3,0)),"FIND MANUALLY")</f>
        <v>4</v>
      </c>
      <c r="I18">
        <f>IF((LEN(A18)-LEN(SUBSTITUTE(A18,".","")))=0,D18*VLOOKUP($A$1,'TOP LEVEL'!$B$4:$D$64,3,0),D18*VLOOKUP(IF((LEN(A18)-LEN(SUBSTITUTE(A18,".","")))&lt;=2,VALUE(LEFT(A18,(FIND("@",SUBSTITUTE(A18,".","@",LEN(A18)-LEN(SUBSTITUTE(A18,".",""))),1))-1)),LEFT(A18,(FIND("@",SUBSTITUTE(A18,".","@",LEN(A18)-LEN(SUBSTITUTE(A18,".",""))),1))-1)),$A$4:$I$86,COLUMN(I18),0))</f>
        <v>4</v>
      </c>
    </row>
    <row r="19" spans="1:9" ht="16.95" customHeight="1" x14ac:dyDescent="0.3">
      <c r="A19" s="28">
        <v>7</v>
      </c>
      <c r="B19" s="2" t="s">
        <v>128</v>
      </c>
      <c r="C19" s="2" t="s">
        <v>129</v>
      </c>
      <c r="D19" s="2">
        <v>4</v>
      </c>
      <c r="E19" s="2" t="s">
        <v>82</v>
      </c>
      <c r="F19" s="2" t="s">
        <v>10</v>
      </c>
      <c r="G19" s="9" t="s">
        <v>11</v>
      </c>
      <c r="H19" s="10">
        <f>IF(ISNUMBER(A19),IF(INT(A19)=A19,D19*VLOOKUP($A$1,'TOP LEVEL'!$B$4:$D$64,3,0),(VLOOKUP(INT(A19),$A$4:$D$86,4,0)*D19)*VLOOKUP($A$1,'TOP LEVEL'!$B$4:$D$64,3,0)),"FIND MANUALLY")</f>
        <v>8</v>
      </c>
      <c r="I19">
        <f>IF((LEN(A19)-LEN(SUBSTITUTE(A19,".","")))=0,D19*VLOOKUP($A$1,'TOP LEVEL'!$B$4:$D$64,3,0),D19*VLOOKUP(IF((LEN(A19)-LEN(SUBSTITUTE(A19,".","")))&lt;=2,VALUE(LEFT(A19,(FIND("@",SUBSTITUTE(A19,".","@",LEN(A19)-LEN(SUBSTITUTE(A19,".",""))),1))-1)),LEFT(A19,(FIND("@",SUBSTITUTE(A19,".","@",LEN(A19)-LEN(SUBSTITUTE(A19,".",""))),1))-1)),$A$4:$I$86,COLUMN(I19),0))</f>
        <v>8</v>
      </c>
    </row>
    <row r="20" spans="1:9" ht="16.95" customHeight="1" x14ac:dyDescent="0.3">
      <c r="A20" s="28">
        <v>7.1</v>
      </c>
      <c r="B20" s="2" t="s">
        <v>130</v>
      </c>
      <c r="C20" s="2"/>
      <c r="D20" s="2">
        <v>4</v>
      </c>
      <c r="E20" s="2" t="s">
        <v>82</v>
      </c>
      <c r="F20" s="2" t="s">
        <v>10</v>
      </c>
      <c r="G20" s="9" t="s">
        <v>11</v>
      </c>
      <c r="H20" s="10">
        <f>IF(ISNUMBER(A20),IF(INT(A20)=A20,D20*VLOOKUP($A$1,'TOP LEVEL'!$B$4:$D$64,3,0),(VLOOKUP(INT(A20),$A$4:$D$86,4,0)*D20)*VLOOKUP($A$1,'TOP LEVEL'!$B$4:$D$64,3,0)),"FIND MANUALLY")</f>
        <v>32</v>
      </c>
      <c r="I20">
        <f>IF((LEN(A20)-LEN(SUBSTITUTE(A20,".","")))=0,D20*VLOOKUP($A$1,'TOP LEVEL'!$B$4:$D$64,3,0),D20*VLOOKUP(IF((LEN(A20)-LEN(SUBSTITUTE(A20,".","")))&lt;=2,VALUE(LEFT(A20,(FIND("@",SUBSTITUTE(A20,".","@",LEN(A20)-LEN(SUBSTITUTE(A20,".",""))),1))-1)),LEFT(A20,(FIND("@",SUBSTITUTE(A20,".","@",LEN(A20)-LEN(SUBSTITUTE(A20,".",""))),1))-1)),$A$4:$I$86,COLUMN(I20),0))</f>
        <v>32</v>
      </c>
    </row>
    <row r="21" spans="1:9" ht="15" x14ac:dyDescent="0.3">
      <c r="A21" s="28" t="s">
        <v>131</v>
      </c>
      <c r="B21" s="2" t="s">
        <v>132</v>
      </c>
      <c r="C21" s="2" t="s">
        <v>28</v>
      </c>
      <c r="D21" s="2">
        <v>5</v>
      </c>
      <c r="E21" s="2" t="s">
        <v>82</v>
      </c>
      <c r="F21" s="2" t="s">
        <v>10</v>
      </c>
      <c r="G21" s="9" t="s">
        <v>11</v>
      </c>
      <c r="H21" s="10" t="str">
        <f>IF(ISNUMBER(A21),IF(INT(A21)=A21,D21*VLOOKUP($A$1,'TOP LEVEL'!$B$4:$D$64,3,0),(VLOOKUP(INT(A21),$A$4:$D$86,4,0)*D21)*VLOOKUP($A$1,'TOP LEVEL'!$B$4:$D$64,3,0)),"FIND MANUALLY")</f>
        <v>FIND MANUALLY</v>
      </c>
      <c r="I21">
        <f>IF((LEN(A21)-LEN(SUBSTITUTE(A21,".","")))=0,D21*VLOOKUP($A$1,'TOP LEVEL'!$B$4:$D$64,3,0),D21*VLOOKUP(IF((LEN(A21)-LEN(SUBSTITUTE(A21,".","")))&lt;=2,VALUE(LEFT(A21,(FIND("@",SUBSTITUTE(A21,".","@",LEN(A21)-LEN(SUBSTITUTE(A21,".",""))),1))-1)),LEFT(A21,(FIND("@",SUBSTITUTE(A21,".","@",LEN(A21)-LEN(SUBSTITUTE(A21,".",""))),1))-1)),$A$4:$I$86,COLUMN(I21),0))</f>
        <v>160</v>
      </c>
    </row>
    <row r="22" spans="1:9" ht="15" x14ac:dyDescent="0.3">
      <c r="A22" s="28" t="s">
        <v>133</v>
      </c>
      <c r="B22" s="2" t="s">
        <v>134</v>
      </c>
      <c r="C22" s="2" t="s">
        <v>93</v>
      </c>
      <c r="D22" s="2">
        <v>1</v>
      </c>
      <c r="E22" s="2" t="s">
        <v>93</v>
      </c>
      <c r="F22" s="2" t="s">
        <v>10</v>
      </c>
      <c r="G22" s="9" t="s">
        <v>11</v>
      </c>
      <c r="H22" s="10" t="str">
        <f>IF(ISNUMBER(A22),IF(INT(A22)=A22,D22*VLOOKUP($A$1,'TOP LEVEL'!$B$4:$D$64,3,0),(VLOOKUP(INT(A22),$A$4:$D$86,4,0)*D22)*VLOOKUP($A$1,'TOP LEVEL'!$B$4:$D$64,3,0)),"FIND MANUALLY")</f>
        <v>FIND MANUALLY</v>
      </c>
      <c r="I22">
        <f>IF((LEN(A22)-LEN(SUBSTITUTE(A22,".","")))=0,D22*VLOOKUP($A$1,'TOP LEVEL'!$B$4:$D$64,3,0),D22*VLOOKUP(IF((LEN(A22)-LEN(SUBSTITUTE(A22,".","")))&lt;=2,VALUE(LEFT(A22,(FIND("@",SUBSTITUTE(A22,".","@",LEN(A22)-LEN(SUBSTITUTE(A22,".",""))),1))-1)),LEFT(A22,(FIND("@",SUBSTITUTE(A22,".","@",LEN(A22)-LEN(SUBSTITUTE(A22,".",""))),1))-1)),$A$4:$I$86,COLUMN(I22),0))</f>
        <v>160</v>
      </c>
    </row>
    <row r="23" spans="1:9" ht="15" x14ac:dyDescent="0.3">
      <c r="A23" s="28" t="s">
        <v>135</v>
      </c>
      <c r="B23" s="2" t="s">
        <v>136</v>
      </c>
      <c r="C23" s="2" t="s">
        <v>93</v>
      </c>
      <c r="D23" s="2">
        <v>2</v>
      </c>
      <c r="E23" s="2" t="s">
        <v>93</v>
      </c>
      <c r="F23" s="2" t="s">
        <v>10</v>
      </c>
      <c r="G23" s="9" t="s">
        <v>11</v>
      </c>
      <c r="H23" s="10" t="str">
        <f>IF(ISNUMBER(A23),IF(INT(A23)=A23,D23*VLOOKUP($A$1,'TOP LEVEL'!$B$4:$D$64,3,0),(VLOOKUP(INT(A23),$A$4:$D$86,4,0)*D23)*VLOOKUP($A$1,'TOP LEVEL'!$B$4:$D$64,3,0)),"FIND MANUALLY")</f>
        <v>FIND MANUALLY</v>
      </c>
      <c r="I23">
        <f>IF((LEN(A23)-LEN(SUBSTITUTE(A23,".","")))=0,D23*VLOOKUP($A$1,'TOP LEVEL'!$B$4:$D$64,3,0),D23*VLOOKUP(IF((LEN(A23)-LEN(SUBSTITUTE(A23,".","")))&lt;=2,VALUE(LEFT(A23,(FIND("@",SUBSTITUTE(A23,".","@",LEN(A23)-LEN(SUBSTITUTE(A23,".",""))),1))-1)),LEFT(A23,(FIND("@",SUBSTITUTE(A23,".","@",LEN(A23)-LEN(SUBSTITUTE(A23,".",""))),1))-1)),$A$4:$I$86,COLUMN(I23),0))</f>
        <v>320</v>
      </c>
    </row>
    <row r="24" spans="1:9" ht="15" x14ac:dyDescent="0.3">
      <c r="A24" s="28" t="s">
        <v>137</v>
      </c>
      <c r="B24" s="2" t="s">
        <v>138</v>
      </c>
      <c r="C24" s="2" t="s">
        <v>93</v>
      </c>
      <c r="D24" s="2">
        <v>3</v>
      </c>
      <c r="E24" s="2" t="s">
        <v>93</v>
      </c>
      <c r="F24" s="2" t="s">
        <v>10</v>
      </c>
      <c r="G24" s="9" t="s">
        <v>11</v>
      </c>
      <c r="H24" s="10" t="str">
        <f>IF(ISNUMBER(A24),IF(INT(A24)=A24,D24*VLOOKUP($A$1,'TOP LEVEL'!$B$4:$D$64,3,0),(VLOOKUP(INT(A24),$A$4:$D$86,4,0)*D24)*VLOOKUP($A$1,'TOP LEVEL'!$B$4:$D$64,3,0)),"FIND MANUALLY")</f>
        <v>FIND MANUALLY</v>
      </c>
      <c r="I24">
        <f>IF((LEN(A24)-LEN(SUBSTITUTE(A24,".","")))=0,D24*VLOOKUP($A$1,'TOP LEVEL'!$B$4:$D$64,3,0),D24*VLOOKUP(IF((LEN(A24)-LEN(SUBSTITUTE(A24,".","")))&lt;=2,VALUE(LEFT(A24,(FIND("@",SUBSTITUTE(A24,".","@",LEN(A24)-LEN(SUBSTITUTE(A24,".",""))),1))-1)),LEFT(A24,(FIND("@",SUBSTITUTE(A24,".","@",LEN(A24)-LEN(SUBSTITUTE(A24,".",""))),1))-1)),$A$4:$I$86,COLUMN(I24),0))</f>
        <v>480</v>
      </c>
    </row>
    <row r="25" spans="1:9" ht="15" x14ac:dyDescent="0.3">
      <c r="A25" s="28" t="s">
        <v>139</v>
      </c>
      <c r="B25" s="2" t="s">
        <v>140</v>
      </c>
      <c r="C25" s="2" t="s">
        <v>141</v>
      </c>
      <c r="D25" s="2">
        <v>1</v>
      </c>
      <c r="E25" s="2" t="s">
        <v>90</v>
      </c>
      <c r="F25" s="2" t="s">
        <v>10</v>
      </c>
      <c r="G25" s="9" t="s">
        <v>11</v>
      </c>
      <c r="H25" s="10" t="str">
        <f>IF(ISNUMBER(A25),IF(INT(A25)=A25,D25*VLOOKUP($A$1,'TOP LEVEL'!$B$4:$D$64,3,0),(VLOOKUP(INT(A25),$A$4:$D$86,4,0)*D25)*VLOOKUP($A$1,'TOP LEVEL'!$B$4:$D$64,3,0)),"FIND MANUALLY")</f>
        <v>FIND MANUALLY</v>
      </c>
      <c r="I25">
        <f>IF((LEN(A25)-LEN(SUBSTITUTE(A25,".","")))=0,D25*VLOOKUP($A$1,'TOP LEVEL'!$B$4:$D$64,3,0),D25*VLOOKUP(IF((LEN(A25)-LEN(SUBSTITUTE(A25,".","")))&lt;=2,VALUE(LEFT(A25,(FIND("@",SUBSTITUTE(A25,".","@",LEN(A25)-LEN(SUBSTITUTE(A25,".",""))),1))-1)),LEFT(A25,(FIND("@",SUBSTITUTE(A25,".","@",LEN(A25)-LEN(SUBSTITUTE(A25,".",""))),1))-1)),$A$4:$I$86,COLUMN(I25),0))</f>
        <v>160</v>
      </c>
    </row>
    <row r="26" spans="1:9" ht="15" x14ac:dyDescent="0.3">
      <c r="A26" s="28" t="s">
        <v>142</v>
      </c>
      <c r="B26" s="2" t="s">
        <v>143</v>
      </c>
      <c r="C26" s="2" t="s">
        <v>93</v>
      </c>
      <c r="D26" s="2">
        <v>2</v>
      </c>
      <c r="E26" s="2" t="s">
        <v>93</v>
      </c>
      <c r="F26" s="2" t="s">
        <v>10</v>
      </c>
      <c r="G26" s="9" t="s">
        <v>11</v>
      </c>
      <c r="H26" s="10" t="str">
        <f>IF(ISNUMBER(A26),IF(INT(A26)=A26,D26*VLOOKUP($A$1,'TOP LEVEL'!$B$4:$D$64,3,0),(VLOOKUP(INT(A26),$A$4:$D$86,4,0)*D26)*VLOOKUP($A$1,'TOP LEVEL'!$B$4:$D$64,3,0)),"FIND MANUALLY")</f>
        <v>FIND MANUALLY</v>
      </c>
      <c r="I26">
        <f>IF((LEN(A26)-LEN(SUBSTITUTE(A26,".","")))=0,D26*VLOOKUP($A$1,'TOP LEVEL'!$B$4:$D$64,3,0),D26*VLOOKUP(IF((LEN(A26)-LEN(SUBSTITUTE(A26,".","")))&lt;=2,VALUE(LEFT(A26,(FIND("@",SUBSTITUTE(A26,".","@",LEN(A26)-LEN(SUBSTITUTE(A26,".",""))),1))-1)),LEFT(A26,(FIND("@",SUBSTITUTE(A26,".","@",LEN(A26)-LEN(SUBSTITUTE(A26,".",""))),1))-1)),$A$4:$I$86,COLUMN(I26),0))</f>
        <v>64</v>
      </c>
    </row>
    <row r="27" spans="1:9" ht="15" x14ac:dyDescent="0.3">
      <c r="A27" s="28" t="s">
        <v>144</v>
      </c>
      <c r="B27" s="2" t="s">
        <v>145</v>
      </c>
      <c r="C27" s="2" t="s">
        <v>93</v>
      </c>
      <c r="D27" s="2">
        <v>3</v>
      </c>
      <c r="E27" s="2" t="s">
        <v>93</v>
      </c>
      <c r="F27" s="2" t="s">
        <v>10</v>
      </c>
      <c r="G27" s="9" t="s">
        <v>11</v>
      </c>
      <c r="H27" s="10" t="str">
        <f>IF(ISNUMBER(A27),IF(INT(A27)=A27,D27*VLOOKUP($A$1,'TOP LEVEL'!$B$4:$D$64,3,0),(VLOOKUP(INT(A27),$A$4:$D$86,4,0)*D27)*VLOOKUP($A$1,'TOP LEVEL'!$B$4:$D$64,3,0)),"FIND MANUALLY")</f>
        <v>FIND MANUALLY</v>
      </c>
      <c r="I27">
        <f>IF((LEN(A27)-LEN(SUBSTITUTE(A27,".","")))=0,D27*VLOOKUP($A$1,'TOP LEVEL'!$B$4:$D$64,3,0),D27*VLOOKUP(IF((LEN(A27)-LEN(SUBSTITUTE(A27,".","")))&lt;=2,VALUE(LEFT(A27,(FIND("@",SUBSTITUTE(A27,".","@",LEN(A27)-LEN(SUBSTITUTE(A27,".",""))),1))-1)),LEFT(A27,(FIND("@",SUBSTITUTE(A27,".","@",LEN(A27)-LEN(SUBSTITUTE(A27,".",""))),1))-1)),$A$4:$I$86,COLUMN(I27),0))</f>
        <v>192</v>
      </c>
    </row>
    <row r="28" spans="1:9" ht="15" x14ac:dyDescent="0.3">
      <c r="A28" s="28" t="s">
        <v>146</v>
      </c>
      <c r="B28" s="2" t="s">
        <v>147</v>
      </c>
      <c r="C28" s="2" t="s">
        <v>93</v>
      </c>
      <c r="D28" s="2">
        <v>1</v>
      </c>
      <c r="E28" s="2" t="s">
        <v>93</v>
      </c>
      <c r="F28" s="2" t="s">
        <v>10</v>
      </c>
      <c r="G28" s="9" t="s">
        <v>11</v>
      </c>
      <c r="H28" s="10" t="str">
        <f>IF(ISNUMBER(A28),IF(INT(A28)=A28,D28*VLOOKUP($A$1,'TOP LEVEL'!$B$4:$D$64,3,0),(VLOOKUP(INT(A28),$A$4:$D$86,4,0)*D28)*VLOOKUP($A$1,'TOP LEVEL'!$B$4:$D$64,3,0)),"FIND MANUALLY")</f>
        <v>FIND MANUALLY</v>
      </c>
      <c r="I28">
        <f>IF((LEN(A28)-LEN(SUBSTITUTE(A28,".","")))=0,D28*VLOOKUP($A$1,'TOP LEVEL'!$B$4:$D$64,3,0),D28*VLOOKUP(IF((LEN(A28)-LEN(SUBSTITUTE(A28,".","")))&lt;=2,VALUE(LEFT(A28,(FIND("@",SUBSTITUTE(A28,".","@",LEN(A28)-LEN(SUBSTITUTE(A28,".",""))),1))-1)),LEFT(A28,(FIND("@",SUBSTITUTE(A28,".","@",LEN(A28)-LEN(SUBSTITUTE(A28,".",""))),1))-1)),$A$4:$I$86,COLUMN(I28),0))</f>
        <v>64</v>
      </c>
    </row>
    <row r="29" spans="1:9" ht="15" x14ac:dyDescent="0.3">
      <c r="A29" s="28" t="s">
        <v>148</v>
      </c>
      <c r="B29" s="2" t="s">
        <v>149</v>
      </c>
      <c r="C29" s="2" t="s">
        <v>93</v>
      </c>
      <c r="D29" s="2">
        <v>1</v>
      </c>
      <c r="E29" s="2" t="s">
        <v>93</v>
      </c>
      <c r="F29" s="2" t="s">
        <v>10</v>
      </c>
      <c r="G29" s="9" t="s">
        <v>11</v>
      </c>
      <c r="H29" s="10" t="str">
        <f>IF(ISNUMBER(A29),IF(INT(A29)=A29,D29*VLOOKUP($A$1,'TOP LEVEL'!$B$4:$D$64,3,0),(VLOOKUP(INT(A29),$A$4:$D$86,4,0)*D29)*VLOOKUP($A$1,'TOP LEVEL'!$B$4:$D$64,3,0)),"FIND MANUALLY")</f>
        <v>FIND MANUALLY</v>
      </c>
      <c r="I29">
        <f>IF((LEN(A29)-LEN(SUBSTITUTE(A29,".","")))=0,D29*VLOOKUP($A$1,'TOP LEVEL'!$B$4:$D$64,3,0),D29*VLOOKUP(IF((LEN(A29)-LEN(SUBSTITUTE(A29,".","")))&lt;=2,VALUE(LEFT(A29,(FIND("@",SUBSTITUTE(A29,".","@",LEN(A29)-LEN(SUBSTITUTE(A29,".",""))),1))-1)),LEFT(A29,(FIND("@",SUBSTITUTE(A29,".","@",LEN(A29)-LEN(SUBSTITUTE(A29,".",""))),1))-1)),$A$4:$I$86,COLUMN(I29),0))</f>
        <v>64</v>
      </c>
    </row>
    <row r="30" spans="1:9" ht="15" x14ac:dyDescent="0.3">
      <c r="A30" s="28" t="s">
        <v>150</v>
      </c>
      <c r="B30" s="2" t="s">
        <v>151</v>
      </c>
      <c r="C30" s="2" t="s">
        <v>120</v>
      </c>
      <c r="D30" s="2">
        <v>1</v>
      </c>
      <c r="E30" s="2" t="s">
        <v>90</v>
      </c>
      <c r="F30" s="2" t="s">
        <v>10</v>
      </c>
      <c r="G30" s="9" t="s">
        <v>11</v>
      </c>
      <c r="H30" s="10" t="str">
        <f>IF(ISNUMBER(A30),IF(INT(A30)=A30,D30*VLOOKUP($A$1,'TOP LEVEL'!$B$4:$D$64,3,0),(VLOOKUP(INT(A30),$A$4:$D$86,4,0)*D30)*VLOOKUP($A$1,'TOP LEVEL'!$B$4:$D$64,3,0)),"FIND MANUALLY")</f>
        <v>FIND MANUALLY</v>
      </c>
      <c r="I30">
        <f>IF((LEN(A30)-LEN(SUBSTITUTE(A30,".","")))=0,D30*VLOOKUP($A$1,'TOP LEVEL'!$B$4:$D$64,3,0),D30*VLOOKUP(IF((LEN(A30)-LEN(SUBSTITUTE(A30,".","")))&lt;=2,VALUE(LEFT(A30,(FIND("@",SUBSTITUTE(A30,".","@",LEN(A30)-LEN(SUBSTITUTE(A30,".",""))),1))-1)),LEFT(A30,(FIND("@",SUBSTITUTE(A30,".","@",LEN(A30)-LEN(SUBSTITUTE(A30,".",""))),1))-1)),$A$4:$I$86,COLUMN(I30),0))</f>
        <v>32</v>
      </c>
    </row>
    <row r="31" spans="1:9" ht="15" x14ac:dyDescent="0.3">
      <c r="A31" s="28">
        <v>7.2</v>
      </c>
      <c r="B31" s="2" t="s">
        <v>152</v>
      </c>
      <c r="C31" s="2"/>
      <c r="D31" s="2">
        <v>1</v>
      </c>
      <c r="E31" s="2" t="s">
        <v>85</v>
      </c>
      <c r="F31" s="2" t="s">
        <v>10</v>
      </c>
      <c r="G31" s="9" t="s">
        <v>11</v>
      </c>
      <c r="H31" s="10">
        <f>IF(ISNUMBER(A31),IF(INT(A31)=A31,D31*VLOOKUP($A$1,'TOP LEVEL'!$B$4:$D$64,3,0),(VLOOKUP(INT(A31),$A$4:$D$86,4,0)*D31)*VLOOKUP($A$1,'TOP LEVEL'!$B$4:$D$64,3,0)),"FIND MANUALLY")</f>
        <v>8</v>
      </c>
      <c r="I31">
        <f>IF((LEN(A31)-LEN(SUBSTITUTE(A31,".","")))=0,D31*VLOOKUP($A$1,'TOP LEVEL'!$B$4:$D$64,3,0),D31*VLOOKUP(IF((LEN(A31)-LEN(SUBSTITUTE(A31,".","")))&lt;=2,VALUE(LEFT(A31,(FIND("@",SUBSTITUTE(A31,".","@",LEN(A31)-LEN(SUBSTITUTE(A31,".",""))),1))-1)),LEFT(A31,(FIND("@",SUBSTITUTE(A31,".","@",LEN(A31)-LEN(SUBSTITUTE(A31,".",""))),1))-1)),$A$4:$I$86,COLUMN(I31),0))</f>
        <v>8</v>
      </c>
    </row>
    <row r="32" spans="1:9" ht="15" x14ac:dyDescent="0.3">
      <c r="A32" s="28">
        <v>7.3</v>
      </c>
      <c r="B32" s="2" t="s">
        <v>153</v>
      </c>
      <c r="C32" s="2" t="s">
        <v>28</v>
      </c>
      <c r="D32" s="2">
        <v>1</v>
      </c>
      <c r="E32" s="2" t="s">
        <v>82</v>
      </c>
      <c r="F32" s="2" t="s">
        <v>10</v>
      </c>
      <c r="G32" s="9" t="s">
        <v>11</v>
      </c>
      <c r="H32" s="10">
        <f>IF(ISNUMBER(A32),IF(INT(A32)=A32,D32*VLOOKUP($A$1,'TOP LEVEL'!$B$4:$D$64,3,0),(VLOOKUP(INT(A32),$A$4:$D$86,4,0)*D32)*VLOOKUP($A$1,'TOP LEVEL'!$B$4:$D$64,3,0)),"FIND MANUALLY")</f>
        <v>8</v>
      </c>
      <c r="I32">
        <f>IF((LEN(A32)-LEN(SUBSTITUTE(A32,".","")))=0,D32*VLOOKUP($A$1,'TOP LEVEL'!$B$4:$D$64,3,0),D32*VLOOKUP(IF((LEN(A32)-LEN(SUBSTITUTE(A32,".","")))&lt;=2,VALUE(LEFT(A32,(FIND("@",SUBSTITUTE(A32,".","@",LEN(A32)-LEN(SUBSTITUTE(A32,".",""))),1))-1)),LEFT(A32,(FIND("@",SUBSTITUTE(A32,".","@",LEN(A32)-LEN(SUBSTITUTE(A32,".",""))),1))-1)),$A$4:$I$86,COLUMN(I32),0))</f>
        <v>8</v>
      </c>
    </row>
    <row r="33" spans="1:9" ht="15" x14ac:dyDescent="0.3">
      <c r="A33" s="28" t="s">
        <v>154</v>
      </c>
      <c r="B33" s="2" t="s">
        <v>155</v>
      </c>
      <c r="C33" s="2" t="s">
        <v>93</v>
      </c>
      <c r="D33" s="2">
        <v>1</v>
      </c>
      <c r="E33" s="2" t="s">
        <v>93</v>
      </c>
      <c r="F33" s="2" t="s">
        <v>10</v>
      </c>
      <c r="G33" s="9" t="s">
        <v>11</v>
      </c>
      <c r="H33" s="10" t="str">
        <f>IF(ISNUMBER(A33),IF(INT(A33)=A33,D33*VLOOKUP($A$1,'TOP LEVEL'!$B$4:$D$64,3,0),(VLOOKUP(INT(A33),$A$4:$D$86,4,0)*D33)*VLOOKUP($A$1,'TOP LEVEL'!$B$4:$D$64,3,0)),"FIND MANUALLY")</f>
        <v>FIND MANUALLY</v>
      </c>
      <c r="I33">
        <f>IF((LEN(A33)-LEN(SUBSTITUTE(A33,".","")))=0,D33*VLOOKUP($A$1,'TOP LEVEL'!$B$4:$D$64,3,0),D33*VLOOKUP(IF((LEN(A33)-LEN(SUBSTITUTE(A33,".","")))&lt;=2,VALUE(LEFT(A33,(FIND("@",SUBSTITUTE(A33,".","@",LEN(A33)-LEN(SUBSTITUTE(A33,".",""))),1))-1)),LEFT(A33,(FIND("@",SUBSTITUTE(A33,".","@",LEN(A33)-LEN(SUBSTITUTE(A33,".",""))),1))-1)),$A$4:$I$86,COLUMN(I33),0))</f>
        <v>8</v>
      </c>
    </row>
    <row r="34" spans="1:9" ht="15" x14ac:dyDescent="0.3">
      <c r="A34" s="28" t="s">
        <v>156</v>
      </c>
      <c r="B34" s="2" t="s">
        <v>157</v>
      </c>
      <c r="C34" s="2" t="s">
        <v>141</v>
      </c>
      <c r="D34" s="2">
        <v>1</v>
      </c>
      <c r="E34" s="2" t="s">
        <v>90</v>
      </c>
      <c r="F34" s="2" t="s">
        <v>10</v>
      </c>
      <c r="G34" s="9" t="s">
        <v>11</v>
      </c>
      <c r="H34" s="10" t="str">
        <f>IF(ISNUMBER(A34),IF(INT(A34)=A34,D34*VLOOKUP($A$1,'TOP LEVEL'!$B$4:$D$64,3,0),(VLOOKUP(INT(A34),$A$4:$D$86,4,0)*D34)*VLOOKUP($A$1,'TOP LEVEL'!$B$4:$D$64,3,0)),"FIND MANUALLY")</f>
        <v>FIND MANUALLY</v>
      </c>
      <c r="I34">
        <f>IF((LEN(A34)-LEN(SUBSTITUTE(A34,".","")))=0,D34*VLOOKUP($A$1,'TOP LEVEL'!$B$4:$D$64,3,0),D34*VLOOKUP(IF((LEN(A34)-LEN(SUBSTITUTE(A34,".","")))&lt;=2,VALUE(LEFT(A34,(FIND("@",SUBSTITUTE(A34,".","@",LEN(A34)-LEN(SUBSTITUTE(A34,".",""))),1))-1)),LEFT(A34,(FIND("@",SUBSTITUTE(A34,".","@",LEN(A34)-LEN(SUBSTITUTE(A34,".",""))),1))-1)),$A$4:$I$86,COLUMN(I34),0))</f>
        <v>8</v>
      </c>
    </row>
    <row r="35" spans="1:9" ht="15" x14ac:dyDescent="0.3">
      <c r="A35" s="28">
        <v>7.4</v>
      </c>
      <c r="B35" s="2" t="s">
        <v>158</v>
      </c>
      <c r="C35" s="2"/>
      <c r="D35" s="2">
        <v>1</v>
      </c>
      <c r="E35" s="2" t="s">
        <v>85</v>
      </c>
      <c r="F35" s="2" t="s">
        <v>15</v>
      </c>
      <c r="G35" s="9"/>
      <c r="H35" s="10">
        <f>IF(ISNUMBER(A35),IF(INT(A35)=A35,D35*VLOOKUP($A$1,'TOP LEVEL'!$B$4:$D$64,3,0),(VLOOKUP(INT(A35),$A$4:$D$86,4,0)*D35)*VLOOKUP($A$1,'TOP LEVEL'!$B$4:$D$64,3,0)),"FIND MANUALLY")</f>
        <v>8</v>
      </c>
      <c r="I35">
        <f>IF((LEN(A35)-LEN(SUBSTITUTE(A35,".","")))=0,D35*VLOOKUP($A$1,'TOP LEVEL'!$B$4:$D$64,3,0),D35*VLOOKUP(IF((LEN(A35)-LEN(SUBSTITUTE(A35,".","")))&lt;=2,VALUE(LEFT(A35,(FIND("@",SUBSTITUTE(A35,".","@",LEN(A35)-LEN(SUBSTITUTE(A35,".",""))),1))-1)),LEFT(A35,(FIND("@",SUBSTITUTE(A35,".","@",LEN(A35)-LEN(SUBSTITUTE(A35,".",""))),1))-1)),$A$4:$I$86,COLUMN(I35),0))</f>
        <v>8</v>
      </c>
    </row>
    <row r="36" spans="1:9" ht="15" x14ac:dyDescent="0.3">
      <c r="A36" s="28">
        <v>8</v>
      </c>
      <c r="B36" s="2" t="s">
        <v>159</v>
      </c>
      <c r="C36" s="2" t="s">
        <v>160</v>
      </c>
      <c r="D36" s="2">
        <v>1</v>
      </c>
      <c r="E36" s="2" t="s">
        <v>90</v>
      </c>
      <c r="F36" s="2" t="s">
        <v>10</v>
      </c>
      <c r="G36" s="9" t="s">
        <v>11</v>
      </c>
      <c r="H36" s="10">
        <f>IF(ISNUMBER(A36),IF(INT(A36)=A36,D36*VLOOKUP($A$1,'TOP LEVEL'!$B$4:$D$64,3,0),(VLOOKUP(INT(A36),$A$4:$D$86,4,0)*D36)*VLOOKUP($A$1,'TOP LEVEL'!$B$4:$D$64,3,0)),"FIND MANUALLY")</f>
        <v>2</v>
      </c>
      <c r="I36">
        <f>IF((LEN(A36)-LEN(SUBSTITUTE(A36,".","")))=0,D36*VLOOKUP($A$1,'TOP LEVEL'!$B$4:$D$64,3,0),D36*VLOOKUP(IF((LEN(A36)-LEN(SUBSTITUTE(A36,".","")))&lt;=2,VALUE(LEFT(A36,(FIND("@",SUBSTITUTE(A36,".","@",LEN(A36)-LEN(SUBSTITUTE(A36,".",""))),1))-1)),LEFT(A36,(FIND("@",SUBSTITUTE(A36,".","@",LEN(A36)-LEN(SUBSTITUTE(A36,".",""))),1))-1)),$A$4:$I$86,COLUMN(I36),0))</f>
        <v>2</v>
      </c>
    </row>
    <row r="37" spans="1:9" ht="15" x14ac:dyDescent="0.3">
      <c r="A37" s="28">
        <v>9</v>
      </c>
      <c r="B37" s="2" t="s">
        <v>161</v>
      </c>
      <c r="C37" s="2" t="s">
        <v>162</v>
      </c>
      <c r="D37" s="2">
        <v>2</v>
      </c>
      <c r="E37" s="2" t="s">
        <v>90</v>
      </c>
      <c r="F37" s="2" t="s">
        <v>10</v>
      </c>
      <c r="G37" s="9" t="s">
        <v>11</v>
      </c>
      <c r="H37" s="10">
        <f>IF(ISNUMBER(A37),IF(INT(A37)=A37,D37*VLOOKUP($A$1,'TOP LEVEL'!$B$4:$D$64,3,0),(VLOOKUP(INT(A37),$A$4:$D$86,4,0)*D37)*VLOOKUP($A$1,'TOP LEVEL'!$B$4:$D$64,3,0)),"FIND MANUALLY")</f>
        <v>4</v>
      </c>
      <c r="I37">
        <f>IF((LEN(A37)-LEN(SUBSTITUTE(A37,".","")))=0,D37*VLOOKUP($A$1,'TOP LEVEL'!$B$4:$D$64,3,0),D37*VLOOKUP(IF((LEN(A37)-LEN(SUBSTITUTE(A37,".","")))&lt;=2,VALUE(LEFT(A37,(FIND("@",SUBSTITUTE(A37,".","@",LEN(A37)-LEN(SUBSTITUTE(A37,".",""))),1))-1)),LEFT(A37,(FIND("@",SUBSTITUTE(A37,".","@",LEN(A37)-LEN(SUBSTITUTE(A37,".",""))),1))-1)),$A$4:$I$86,COLUMN(I37),0))</f>
        <v>4</v>
      </c>
    </row>
    <row r="38" spans="1:9" ht="15" x14ac:dyDescent="0.3">
      <c r="A38" s="28">
        <v>10</v>
      </c>
      <c r="B38" s="2" t="s">
        <v>163</v>
      </c>
      <c r="C38" s="2" t="s">
        <v>164</v>
      </c>
      <c r="D38" s="2">
        <v>1</v>
      </c>
      <c r="E38" s="2" t="s">
        <v>82</v>
      </c>
      <c r="F38" s="2" t="s">
        <v>10</v>
      </c>
      <c r="G38" s="9" t="s">
        <v>11</v>
      </c>
      <c r="H38" s="10">
        <f>IF(ISNUMBER(A38),IF(INT(A38)=A38,D38*VLOOKUP($A$1,'TOP LEVEL'!$B$4:$D$64,3,0),(VLOOKUP(INT(A38),$A$4:$D$86,4,0)*D38)*VLOOKUP($A$1,'TOP LEVEL'!$B$4:$D$64,3,0)),"FIND MANUALLY")</f>
        <v>2</v>
      </c>
      <c r="I38">
        <f>IF((LEN(A38)-LEN(SUBSTITUTE(A38,".","")))=0,D38*VLOOKUP($A$1,'TOP LEVEL'!$B$4:$D$64,3,0),D38*VLOOKUP(IF((LEN(A38)-LEN(SUBSTITUTE(A38,".","")))&lt;=2,VALUE(LEFT(A38,(FIND("@",SUBSTITUTE(A38,".","@",LEN(A38)-LEN(SUBSTITUTE(A38,".",""))),1))-1)),LEFT(A38,(FIND("@",SUBSTITUTE(A38,".","@",LEN(A38)-LEN(SUBSTITUTE(A38,".",""))),1))-1)),$A$4:$I$86,COLUMN(I38),0))</f>
        <v>2</v>
      </c>
    </row>
    <row r="39" spans="1:9" ht="15" x14ac:dyDescent="0.3">
      <c r="A39" s="28">
        <v>10.1</v>
      </c>
      <c r="B39" s="2" t="s">
        <v>165</v>
      </c>
      <c r="C39" s="2" t="s">
        <v>93</v>
      </c>
      <c r="D39" s="2">
        <v>1</v>
      </c>
      <c r="E39" s="2" t="s">
        <v>93</v>
      </c>
      <c r="F39" s="2" t="s">
        <v>10</v>
      </c>
      <c r="G39" s="9" t="s">
        <v>11</v>
      </c>
      <c r="H39" s="10">
        <f>IF(ISNUMBER(A39),IF(INT(A39)=A39,D39*VLOOKUP($A$1,'TOP LEVEL'!$B$4:$D$64,3,0),(VLOOKUP(INT(A39),$A$4:$D$86,4,0)*D39)*VLOOKUP($A$1,'TOP LEVEL'!$B$4:$D$64,3,0)),"FIND MANUALLY")</f>
        <v>2</v>
      </c>
      <c r="I39">
        <f>IF((LEN(A39)-LEN(SUBSTITUTE(A39,".","")))=0,D39*VLOOKUP($A$1,'TOP LEVEL'!$B$4:$D$64,3,0),D39*VLOOKUP(IF((LEN(A39)-LEN(SUBSTITUTE(A39,".","")))&lt;=2,VALUE(LEFT(A39,(FIND("@",SUBSTITUTE(A39,".","@",LEN(A39)-LEN(SUBSTITUTE(A39,".",""))),1))-1)),LEFT(A39,(FIND("@",SUBSTITUTE(A39,".","@",LEN(A39)-LEN(SUBSTITUTE(A39,".",""))),1))-1)),$A$4:$I$86,COLUMN(I39),0))</f>
        <v>2</v>
      </c>
    </row>
    <row r="40" spans="1:9" ht="15" x14ac:dyDescent="0.3">
      <c r="A40" s="28">
        <v>10.199999999999999</v>
      </c>
      <c r="B40" s="2" t="s">
        <v>166</v>
      </c>
      <c r="C40" s="2" t="s">
        <v>141</v>
      </c>
      <c r="D40" s="2">
        <v>1</v>
      </c>
      <c r="E40" s="2" t="s">
        <v>90</v>
      </c>
      <c r="F40" s="2" t="s">
        <v>10</v>
      </c>
      <c r="G40" s="9" t="s">
        <v>11</v>
      </c>
      <c r="H40" s="10">
        <f>IF(ISNUMBER(A40),IF(INT(A40)=A40,D40*VLOOKUP($A$1,'TOP LEVEL'!$B$4:$D$64,3,0),(VLOOKUP(INT(A40),$A$4:$D$86,4,0)*D40)*VLOOKUP($A$1,'TOP LEVEL'!$B$4:$D$64,3,0)),"FIND MANUALLY")</f>
        <v>2</v>
      </c>
      <c r="I40">
        <f>IF((LEN(A40)-LEN(SUBSTITUTE(A40,".","")))=0,D40*VLOOKUP($A$1,'TOP LEVEL'!$B$4:$D$64,3,0),D40*VLOOKUP(IF((LEN(A40)-LEN(SUBSTITUTE(A40,".","")))&lt;=2,VALUE(LEFT(A40,(FIND("@",SUBSTITUTE(A40,".","@",LEN(A40)-LEN(SUBSTITUTE(A40,".",""))),1))-1)),LEFT(A40,(FIND("@",SUBSTITUTE(A40,".","@",LEN(A40)-LEN(SUBSTITUTE(A40,".",""))),1))-1)),$A$4:$I$86,COLUMN(I40),0))</f>
        <v>2</v>
      </c>
    </row>
    <row r="41" spans="1:9" ht="15" x14ac:dyDescent="0.3">
      <c r="A41" s="28">
        <v>10.3</v>
      </c>
      <c r="B41" s="2" t="s">
        <v>167</v>
      </c>
      <c r="C41" s="2" t="s">
        <v>141</v>
      </c>
      <c r="D41" s="2">
        <v>1</v>
      </c>
      <c r="E41" s="2" t="s">
        <v>90</v>
      </c>
      <c r="F41" s="2" t="s">
        <v>10</v>
      </c>
      <c r="G41" s="9" t="s">
        <v>11</v>
      </c>
      <c r="H41" s="10">
        <f>IF(ISNUMBER(A41),IF(INT(A41)=A41,D41*VLOOKUP($A$1,'TOP LEVEL'!$B$4:$D$64,3,0),(VLOOKUP(INT(A41),$A$4:$D$86,4,0)*D41)*VLOOKUP($A$1,'TOP LEVEL'!$B$4:$D$64,3,0)),"FIND MANUALLY")</f>
        <v>2</v>
      </c>
      <c r="I41">
        <f>IF((LEN(A41)-LEN(SUBSTITUTE(A41,".","")))=0,D41*VLOOKUP($A$1,'TOP LEVEL'!$B$4:$D$64,3,0),D41*VLOOKUP(IF((LEN(A41)-LEN(SUBSTITUTE(A41,".","")))&lt;=2,VALUE(LEFT(A41,(FIND("@",SUBSTITUTE(A41,".","@",LEN(A41)-LEN(SUBSTITUTE(A41,".",""))),1))-1)),LEFT(A41,(FIND("@",SUBSTITUTE(A41,".","@",LEN(A41)-LEN(SUBSTITUTE(A41,".",""))),1))-1)),$A$4:$I$86,COLUMN(I41),0))</f>
        <v>2</v>
      </c>
    </row>
    <row r="42" spans="1:9" ht="15" x14ac:dyDescent="0.3">
      <c r="A42" s="28">
        <v>11</v>
      </c>
      <c r="B42" s="2" t="s">
        <v>168</v>
      </c>
      <c r="C42" s="2" t="s">
        <v>160</v>
      </c>
      <c r="D42" s="2">
        <v>1</v>
      </c>
      <c r="E42" s="2" t="s">
        <v>90</v>
      </c>
      <c r="F42" s="2" t="s">
        <v>10</v>
      </c>
      <c r="G42" s="9" t="s">
        <v>11</v>
      </c>
      <c r="H42" s="10">
        <f>IF(ISNUMBER(A42),IF(INT(A42)=A42,D42*VLOOKUP($A$1,'TOP LEVEL'!$B$4:$D$64,3,0),(VLOOKUP(INT(A42),$A$4:$D$86,4,0)*D42)*VLOOKUP($A$1,'TOP LEVEL'!$B$4:$D$64,3,0)),"FIND MANUALLY")</f>
        <v>2</v>
      </c>
      <c r="I42">
        <f>IF((LEN(A42)-LEN(SUBSTITUTE(A42,".","")))=0,D42*VLOOKUP($A$1,'TOP LEVEL'!$B$4:$D$64,3,0),D42*VLOOKUP(IF((LEN(A42)-LEN(SUBSTITUTE(A42,".","")))&lt;=2,VALUE(LEFT(A42,(FIND("@",SUBSTITUTE(A42,".","@",LEN(A42)-LEN(SUBSTITUTE(A42,".",""))),1))-1)),LEFT(A42,(FIND("@",SUBSTITUTE(A42,".","@",LEN(A42)-LEN(SUBSTITUTE(A42,".",""))),1))-1)),$A$4:$I$86,COLUMN(I42),0))</f>
        <v>2</v>
      </c>
    </row>
    <row r="43" spans="1:9" ht="15" x14ac:dyDescent="0.3">
      <c r="A43" s="28">
        <v>12</v>
      </c>
      <c r="B43" s="2" t="s">
        <v>169</v>
      </c>
      <c r="C43" s="2" t="s">
        <v>170</v>
      </c>
      <c r="D43" s="2">
        <v>1</v>
      </c>
      <c r="E43" s="2" t="s">
        <v>90</v>
      </c>
      <c r="F43" s="2" t="s">
        <v>10</v>
      </c>
      <c r="G43" s="9" t="s">
        <v>11</v>
      </c>
      <c r="H43" s="10">
        <f>IF(ISNUMBER(A43),IF(INT(A43)=A43,D43*VLOOKUP($A$1,'TOP LEVEL'!$B$4:$D$64,3,0),(VLOOKUP(INT(A43),$A$4:$D$86,4,0)*D43)*VLOOKUP($A$1,'TOP LEVEL'!$B$4:$D$64,3,0)),"FIND MANUALLY")</f>
        <v>2</v>
      </c>
      <c r="I43">
        <f>IF((LEN(A43)-LEN(SUBSTITUTE(A43,".","")))=0,D43*VLOOKUP($A$1,'TOP LEVEL'!$B$4:$D$64,3,0),D43*VLOOKUP(IF((LEN(A43)-LEN(SUBSTITUTE(A43,".","")))&lt;=2,VALUE(LEFT(A43,(FIND("@",SUBSTITUTE(A43,".","@",LEN(A43)-LEN(SUBSTITUTE(A43,".",""))),1))-1)),LEFT(A43,(FIND("@",SUBSTITUTE(A43,".","@",LEN(A43)-LEN(SUBSTITUTE(A43,".",""))),1))-1)),$A$4:$I$86,COLUMN(I43),0))</f>
        <v>2</v>
      </c>
    </row>
    <row r="44" spans="1:9" ht="15" x14ac:dyDescent="0.3">
      <c r="A44" s="28">
        <v>13</v>
      </c>
      <c r="B44" s="2" t="s">
        <v>171</v>
      </c>
      <c r="C44" s="2" t="s">
        <v>93</v>
      </c>
      <c r="D44" s="2">
        <v>1</v>
      </c>
      <c r="E44" s="2" t="s">
        <v>93</v>
      </c>
      <c r="F44" s="2" t="s">
        <v>10</v>
      </c>
      <c r="G44" s="9" t="s">
        <v>11</v>
      </c>
      <c r="H44" s="10">
        <f>IF(ISNUMBER(A44),IF(INT(A44)=A44,D44*VLOOKUP($A$1,'TOP LEVEL'!$B$4:$D$64,3,0),(VLOOKUP(INT(A44),$A$4:$D$86,4,0)*D44)*VLOOKUP($A$1,'TOP LEVEL'!$B$4:$D$64,3,0)),"FIND MANUALLY")</f>
        <v>2</v>
      </c>
      <c r="I44">
        <f>IF((LEN(A44)-LEN(SUBSTITUTE(A44,".","")))=0,D44*VLOOKUP($A$1,'TOP LEVEL'!$B$4:$D$64,3,0),D44*VLOOKUP(IF((LEN(A44)-LEN(SUBSTITUTE(A44,".","")))&lt;=2,VALUE(LEFT(A44,(FIND("@",SUBSTITUTE(A44,".","@",LEN(A44)-LEN(SUBSTITUTE(A44,".",""))),1))-1)),LEFT(A44,(FIND("@",SUBSTITUTE(A44,".","@",LEN(A44)-LEN(SUBSTITUTE(A44,".",""))),1))-1)),$A$4:$I$86,COLUMN(I44),0))</f>
        <v>2</v>
      </c>
    </row>
    <row r="45" spans="1:9" ht="15" x14ac:dyDescent="0.3">
      <c r="A45" s="28">
        <v>14</v>
      </c>
      <c r="B45" s="2" t="s">
        <v>172</v>
      </c>
      <c r="C45" s="2" t="s">
        <v>162</v>
      </c>
      <c r="D45" s="2">
        <v>4</v>
      </c>
      <c r="E45" s="2" t="s">
        <v>90</v>
      </c>
      <c r="F45" s="2" t="s">
        <v>10</v>
      </c>
      <c r="G45" s="9" t="s">
        <v>11</v>
      </c>
      <c r="H45" s="10">
        <f>IF(ISNUMBER(A45),IF(INT(A45)=A45,D45*VLOOKUP($A$1,'TOP LEVEL'!$B$4:$D$64,3,0),(VLOOKUP(INT(A45),$A$4:$D$86,4,0)*D45)*VLOOKUP($A$1,'TOP LEVEL'!$B$4:$D$64,3,0)),"FIND MANUALLY")</f>
        <v>8</v>
      </c>
      <c r="I45">
        <f>IF((LEN(A45)-LEN(SUBSTITUTE(A45,".","")))=0,D45*VLOOKUP($A$1,'TOP LEVEL'!$B$4:$D$64,3,0),D45*VLOOKUP(IF((LEN(A45)-LEN(SUBSTITUTE(A45,".","")))&lt;=2,VALUE(LEFT(A45,(FIND("@",SUBSTITUTE(A45,".","@",LEN(A45)-LEN(SUBSTITUTE(A45,".",""))),1))-1)),LEFT(A45,(FIND("@",SUBSTITUTE(A45,".","@",LEN(A45)-LEN(SUBSTITUTE(A45,".",""))),1))-1)),$A$4:$I$86,COLUMN(I45),0))</f>
        <v>8</v>
      </c>
    </row>
    <row r="46" spans="1:9" ht="15" x14ac:dyDescent="0.3">
      <c r="A46" s="28">
        <v>15</v>
      </c>
      <c r="B46" s="2" t="s">
        <v>173</v>
      </c>
      <c r="C46" s="2" t="s">
        <v>174</v>
      </c>
      <c r="D46" s="2">
        <v>1</v>
      </c>
      <c r="E46" s="2" t="s">
        <v>90</v>
      </c>
      <c r="F46" s="2" t="s">
        <v>10</v>
      </c>
      <c r="G46" s="9" t="s">
        <v>11</v>
      </c>
      <c r="H46" s="10">
        <f>IF(ISNUMBER(A46),IF(INT(A46)=A46,D46*VLOOKUP($A$1,'TOP LEVEL'!$B$4:$D$64,3,0),(VLOOKUP(INT(A46),$A$4:$D$86,4,0)*D46)*VLOOKUP($A$1,'TOP LEVEL'!$B$4:$D$64,3,0)),"FIND MANUALLY")</f>
        <v>2</v>
      </c>
      <c r="I46">
        <f>IF((LEN(A46)-LEN(SUBSTITUTE(A46,".","")))=0,D46*VLOOKUP($A$1,'TOP LEVEL'!$B$4:$D$64,3,0),D46*VLOOKUP(IF((LEN(A46)-LEN(SUBSTITUTE(A46,".","")))&lt;=2,VALUE(LEFT(A46,(FIND("@",SUBSTITUTE(A46,".","@",LEN(A46)-LEN(SUBSTITUTE(A46,".",""))),1))-1)),LEFT(A46,(FIND("@",SUBSTITUTE(A46,".","@",LEN(A46)-LEN(SUBSTITUTE(A46,".",""))),1))-1)),$A$4:$I$86,COLUMN(I46),0))</f>
        <v>2</v>
      </c>
    </row>
    <row r="47" spans="1:9" ht="15" x14ac:dyDescent="0.3">
      <c r="A47" s="28">
        <v>16</v>
      </c>
      <c r="B47" s="2" t="s">
        <v>175</v>
      </c>
      <c r="C47" s="2" t="s">
        <v>176</v>
      </c>
      <c r="D47" s="2">
        <v>2</v>
      </c>
      <c r="E47" s="2" t="s">
        <v>93</v>
      </c>
      <c r="F47" s="2" t="s">
        <v>10</v>
      </c>
      <c r="G47" s="9" t="s">
        <v>11</v>
      </c>
      <c r="H47" s="10">
        <f>IF(ISNUMBER(A47),IF(INT(A47)=A47,D47*VLOOKUP($A$1,'TOP LEVEL'!$B$4:$D$64,3,0),(VLOOKUP(INT(A47),$A$4:$D$86,4,0)*D47)*VLOOKUP($A$1,'TOP LEVEL'!$B$4:$D$64,3,0)),"FIND MANUALLY")</f>
        <v>4</v>
      </c>
      <c r="I47">
        <f>IF((LEN(A47)-LEN(SUBSTITUTE(A47,".","")))=0,D47*VLOOKUP($A$1,'TOP LEVEL'!$B$4:$D$64,3,0),D47*VLOOKUP(IF((LEN(A47)-LEN(SUBSTITUTE(A47,".","")))&lt;=2,VALUE(LEFT(A47,(FIND("@",SUBSTITUTE(A47,".","@",LEN(A47)-LEN(SUBSTITUTE(A47,".",""))),1))-1)),LEFT(A47,(FIND("@",SUBSTITUTE(A47,".","@",LEN(A47)-LEN(SUBSTITUTE(A47,".",""))),1))-1)),$A$4:$I$86,COLUMN(I47),0))</f>
        <v>4</v>
      </c>
    </row>
    <row r="48" spans="1:9" ht="15" x14ac:dyDescent="0.3">
      <c r="A48" s="28">
        <v>17</v>
      </c>
      <c r="B48" s="2" t="s">
        <v>177</v>
      </c>
      <c r="C48" s="2" t="s">
        <v>164</v>
      </c>
      <c r="D48" s="2">
        <v>1</v>
      </c>
      <c r="E48" s="2" t="s">
        <v>82</v>
      </c>
      <c r="F48" s="2" t="s">
        <v>10</v>
      </c>
      <c r="G48" s="9" t="s">
        <v>11</v>
      </c>
      <c r="H48" s="10">
        <f>IF(ISNUMBER(A48),IF(INT(A48)=A48,D48*VLOOKUP($A$1,'TOP LEVEL'!$B$4:$D$64,3,0),(VLOOKUP(INT(A48),$A$4:$D$86,4,0)*D48)*VLOOKUP($A$1,'TOP LEVEL'!$B$4:$D$64,3,0)),"FIND MANUALLY")</f>
        <v>2</v>
      </c>
      <c r="I48">
        <f>IF((LEN(A48)-LEN(SUBSTITUTE(A48,".","")))=0,D48*VLOOKUP($A$1,'TOP LEVEL'!$B$4:$D$64,3,0),D48*VLOOKUP(IF((LEN(A48)-LEN(SUBSTITUTE(A48,".","")))&lt;=2,VALUE(LEFT(A48,(FIND("@",SUBSTITUTE(A48,".","@",LEN(A48)-LEN(SUBSTITUTE(A48,".",""))),1))-1)),LEFT(A48,(FIND("@",SUBSTITUTE(A48,".","@",LEN(A48)-LEN(SUBSTITUTE(A48,".",""))),1))-1)),$A$4:$I$86,COLUMN(I48),0))</f>
        <v>2</v>
      </c>
    </row>
    <row r="49" spans="1:9" ht="15" x14ac:dyDescent="0.3">
      <c r="A49" s="28">
        <v>17.100000000000001</v>
      </c>
      <c r="B49" s="2" t="s">
        <v>178</v>
      </c>
      <c r="C49" s="2" t="s">
        <v>93</v>
      </c>
      <c r="D49" s="2">
        <v>1</v>
      </c>
      <c r="E49" s="2" t="s">
        <v>93</v>
      </c>
      <c r="F49" s="2" t="s">
        <v>10</v>
      </c>
      <c r="G49" s="9" t="s">
        <v>11</v>
      </c>
      <c r="H49" s="10">
        <f>IF(ISNUMBER(A49),IF(INT(A49)=A49,D49*VLOOKUP($A$1,'TOP LEVEL'!$B$4:$D$64,3,0),(VLOOKUP(INT(A49),$A$4:$D$86,4,0)*D49)*VLOOKUP($A$1,'TOP LEVEL'!$B$4:$D$64,3,0)),"FIND MANUALLY")</f>
        <v>2</v>
      </c>
      <c r="I49">
        <f>IF((LEN(A49)-LEN(SUBSTITUTE(A49,".","")))=0,D49*VLOOKUP($A$1,'TOP LEVEL'!$B$4:$D$64,3,0),D49*VLOOKUP(IF((LEN(A49)-LEN(SUBSTITUTE(A49,".","")))&lt;=2,VALUE(LEFT(A49,(FIND("@",SUBSTITUTE(A49,".","@",LEN(A49)-LEN(SUBSTITUTE(A49,".",""))),1))-1)),LEFT(A49,(FIND("@",SUBSTITUTE(A49,".","@",LEN(A49)-LEN(SUBSTITUTE(A49,".",""))),1))-1)),$A$4:$I$86,COLUMN(I49),0))</f>
        <v>2</v>
      </c>
    </row>
    <row r="50" spans="1:9" ht="15" x14ac:dyDescent="0.3">
      <c r="A50" s="28">
        <v>17.2</v>
      </c>
      <c r="B50" s="2" t="s">
        <v>166</v>
      </c>
      <c r="C50" s="2" t="s">
        <v>141</v>
      </c>
      <c r="D50" s="2">
        <v>1</v>
      </c>
      <c r="E50" s="2" t="s">
        <v>90</v>
      </c>
      <c r="F50" s="2" t="s">
        <v>10</v>
      </c>
      <c r="G50" s="9" t="s">
        <v>11</v>
      </c>
      <c r="H50" s="10">
        <f>IF(ISNUMBER(A50),IF(INT(A50)=A50,D50*VLOOKUP($A$1,'TOP LEVEL'!$B$4:$D$64,3,0),(VLOOKUP(INT(A50),$A$4:$D$86,4,0)*D50)*VLOOKUP($A$1,'TOP LEVEL'!$B$4:$D$64,3,0)),"FIND MANUALLY")</f>
        <v>2</v>
      </c>
      <c r="I50">
        <f>IF((LEN(A50)-LEN(SUBSTITUTE(A50,".","")))=0,D50*VLOOKUP($A$1,'TOP LEVEL'!$B$4:$D$64,3,0),D50*VLOOKUP(IF((LEN(A50)-LEN(SUBSTITUTE(A50,".","")))&lt;=2,VALUE(LEFT(A50,(FIND("@",SUBSTITUTE(A50,".","@",LEN(A50)-LEN(SUBSTITUTE(A50,".",""))),1))-1)),LEFT(A50,(FIND("@",SUBSTITUTE(A50,".","@",LEN(A50)-LEN(SUBSTITUTE(A50,".",""))),1))-1)),$A$4:$I$86,COLUMN(I50),0))</f>
        <v>2</v>
      </c>
    </row>
    <row r="51" spans="1:9" ht="15" x14ac:dyDescent="0.3">
      <c r="A51" s="28">
        <v>18</v>
      </c>
      <c r="B51" s="2" t="s">
        <v>179</v>
      </c>
      <c r="C51" s="2" t="s">
        <v>28</v>
      </c>
      <c r="D51" s="2">
        <v>2</v>
      </c>
      <c r="E51" s="2" t="s">
        <v>82</v>
      </c>
      <c r="F51" s="2" t="s">
        <v>10</v>
      </c>
      <c r="G51" s="9" t="s">
        <v>11</v>
      </c>
      <c r="H51" s="10">
        <f>IF(ISNUMBER(A51),IF(INT(A51)=A51,D51*VLOOKUP($A$1,'TOP LEVEL'!$B$4:$D$64,3,0),(VLOOKUP(INT(A51),$A$4:$D$86,4,0)*D51)*VLOOKUP($A$1,'TOP LEVEL'!$B$4:$D$64,3,0)),"FIND MANUALLY")</f>
        <v>4</v>
      </c>
      <c r="I51">
        <f>IF((LEN(A51)-LEN(SUBSTITUTE(A51,".","")))=0,D51*VLOOKUP($A$1,'TOP LEVEL'!$B$4:$D$64,3,0),D51*VLOOKUP(IF((LEN(A51)-LEN(SUBSTITUTE(A51,".","")))&lt;=2,VALUE(LEFT(A51,(FIND("@",SUBSTITUTE(A51,".","@",LEN(A51)-LEN(SUBSTITUTE(A51,".",""))),1))-1)),LEFT(A51,(FIND("@",SUBSTITUTE(A51,".","@",LEN(A51)-LEN(SUBSTITUTE(A51,".",""))),1))-1)),$A$4:$I$86,COLUMN(I51),0))</f>
        <v>4</v>
      </c>
    </row>
    <row r="52" spans="1:9" ht="15" x14ac:dyDescent="0.3">
      <c r="A52" s="28">
        <v>18.100000000000001</v>
      </c>
      <c r="B52" s="2" t="s">
        <v>180</v>
      </c>
      <c r="C52" s="2" t="s">
        <v>93</v>
      </c>
      <c r="D52" s="2">
        <v>1</v>
      </c>
      <c r="E52" s="2" t="s">
        <v>93</v>
      </c>
      <c r="F52" s="2" t="s">
        <v>10</v>
      </c>
      <c r="G52" s="9" t="s">
        <v>11</v>
      </c>
      <c r="H52" s="10">
        <f>IF(ISNUMBER(A52),IF(INT(A52)=A52,D52*VLOOKUP($A$1,'TOP LEVEL'!$B$4:$D$64,3,0),(VLOOKUP(INT(A52),$A$4:$D$86,4,0)*D52)*VLOOKUP($A$1,'TOP LEVEL'!$B$4:$D$64,3,0)),"FIND MANUALLY")</f>
        <v>4</v>
      </c>
      <c r="I52">
        <f>IF((LEN(A52)-LEN(SUBSTITUTE(A52,".","")))=0,D52*VLOOKUP($A$1,'TOP LEVEL'!$B$4:$D$64,3,0),D52*VLOOKUP(IF((LEN(A52)-LEN(SUBSTITUTE(A52,".","")))&lt;=2,VALUE(LEFT(A52,(FIND("@",SUBSTITUTE(A52,".","@",LEN(A52)-LEN(SUBSTITUTE(A52,".",""))),1))-1)),LEFT(A52,(FIND("@",SUBSTITUTE(A52,".","@",LEN(A52)-LEN(SUBSTITUTE(A52,".",""))),1))-1)),$A$4:$I$86,COLUMN(I52),0))</f>
        <v>4</v>
      </c>
    </row>
    <row r="53" spans="1:9" ht="15" x14ac:dyDescent="0.3">
      <c r="A53" s="28">
        <v>18.2</v>
      </c>
      <c r="B53" s="2" t="s">
        <v>167</v>
      </c>
      <c r="C53" s="2"/>
      <c r="D53" s="2">
        <v>1</v>
      </c>
      <c r="E53" s="2" t="s">
        <v>90</v>
      </c>
      <c r="F53" s="2" t="s">
        <v>10</v>
      </c>
      <c r="G53" s="9" t="s">
        <v>11</v>
      </c>
      <c r="H53" s="10">
        <f>IF(ISNUMBER(A53),IF(INT(A53)=A53,D53*VLOOKUP($A$1,'TOP LEVEL'!$B$4:$D$64,3,0),(VLOOKUP(INT(A53),$A$4:$D$86,4,0)*D53)*VLOOKUP($A$1,'TOP LEVEL'!$B$4:$D$64,3,0)),"FIND MANUALLY")</f>
        <v>4</v>
      </c>
      <c r="I53">
        <f>IF((LEN(A53)-LEN(SUBSTITUTE(A53,".","")))=0,D53*VLOOKUP($A$1,'TOP LEVEL'!$B$4:$D$64,3,0),D53*VLOOKUP(IF((LEN(A53)-LEN(SUBSTITUTE(A53,".","")))&lt;=2,VALUE(LEFT(A53,(FIND("@",SUBSTITUTE(A53,".","@",LEN(A53)-LEN(SUBSTITUTE(A53,".",""))),1))-1)),LEFT(A53,(FIND("@",SUBSTITUTE(A53,".","@",LEN(A53)-LEN(SUBSTITUTE(A53,".",""))),1))-1)),$A$4:$I$86,COLUMN(I53),0))</f>
        <v>4</v>
      </c>
    </row>
    <row r="54" spans="1:9" ht="15" x14ac:dyDescent="0.3">
      <c r="A54" s="28">
        <v>19</v>
      </c>
      <c r="B54" s="2" t="s">
        <v>181</v>
      </c>
      <c r="C54" s="2" t="s">
        <v>93</v>
      </c>
      <c r="D54" s="2">
        <v>2</v>
      </c>
      <c r="E54" s="2" t="s">
        <v>93</v>
      </c>
      <c r="F54" s="2" t="s">
        <v>10</v>
      </c>
      <c r="G54" s="9" t="s">
        <v>11</v>
      </c>
      <c r="H54" s="10">
        <f>IF(ISNUMBER(A54),IF(INT(A54)=A54,D54*VLOOKUP($A$1,'TOP LEVEL'!$B$4:$D$64,3,0),(VLOOKUP(INT(A54),$A$4:$D$86,4,0)*D54)*VLOOKUP($A$1,'TOP LEVEL'!$B$4:$D$64,3,0)),"FIND MANUALLY")</f>
        <v>4</v>
      </c>
      <c r="I54">
        <f>IF((LEN(A54)-LEN(SUBSTITUTE(A54,".","")))=0,D54*VLOOKUP($A$1,'TOP LEVEL'!$B$4:$D$64,3,0),D54*VLOOKUP(IF((LEN(A54)-LEN(SUBSTITUTE(A54,".","")))&lt;=2,VALUE(LEFT(A54,(FIND("@",SUBSTITUTE(A54,".","@",LEN(A54)-LEN(SUBSTITUTE(A54,".",""))),1))-1)),LEFT(A54,(FIND("@",SUBSTITUTE(A54,".","@",LEN(A54)-LEN(SUBSTITUTE(A54,".",""))),1))-1)),$A$4:$I$86,COLUMN(I54),0))</f>
        <v>4</v>
      </c>
    </row>
    <row r="55" spans="1:9" ht="15" x14ac:dyDescent="0.3">
      <c r="A55" s="28">
        <v>20</v>
      </c>
      <c r="B55" s="2" t="s">
        <v>182</v>
      </c>
      <c r="C55" s="2" t="s">
        <v>28</v>
      </c>
      <c r="D55" s="2">
        <v>1</v>
      </c>
      <c r="E55" s="2" t="s">
        <v>82</v>
      </c>
      <c r="F55" s="2" t="s">
        <v>10</v>
      </c>
      <c r="G55" s="9" t="s">
        <v>11</v>
      </c>
      <c r="H55" s="10">
        <f>IF(ISNUMBER(A55),IF(INT(A55)=A55,D55*VLOOKUP($A$1,'TOP LEVEL'!$B$4:$D$64,3,0),(VLOOKUP(INT(A55),$A$4:$D$86,4,0)*D55)*VLOOKUP($A$1,'TOP LEVEL'!$B$4:$D$64,3,0)),"FIND MANUALLY")</f>
        <v>2</v>
      </c>
      <c r="I55">
        <f>IF((LEN(A55)-LEN(SUBSTITUTE(A55,".","")))=0,D55*VLOOKUP($A$1,'TOP LEVEL'!$B$4:$D$64,3,0),D55*VLOOKUP(IF((LEN(A55)-LEN(SUBSTITUTE(A55,".","")))&lt;=2,VALUE(LEFT(A55,(FIND("@",SUBSTITUTE(A55,".","@",LEN(A55)-LEN(SUBSTITUTE(A55,".",""))),1))-1)),LEFT(A55,(FIND("@",SUBSTITUTE(A55,".","@",LEN(A55)-LEN(SUBSTITUTE(A55,".",""))),1))-1)),$A$4:$I$86,COLUMN(I55),0))</f>
        <v>2</v>
      </c>
    </row>
    <row r="56" spans="1:9" ht="15" x14ac:dyDescent="0.3">
      <c r="A56" s="28">
        <v>20.100000000000001</v>
      </c>
      <c r="B56" s="2" t="s">
        <v>183</v>
      </c>
      <c r="C56" s="2" t="s">
        <v>93</v>
      </c>
      <c r="D56" s="2">
        <v>1</v>
      </c>
      <c r="E56" s="2" t="s">
        <v>93</v>
      </c>
      <c r="F56" s="2" t="s">
        <v>10</v>
      </c>
      <c r="G56" s="9" t="s">
        <v>11</v>
      </c>
      <c r="H56" s="10">
        <f>IF(ISNUMBER(A56),IF(INT(A56)=A56,D56*VLOOKUP($A$1,'TOP LEVEL'!$B$4:$D$64,3,0),(VLOOKUP(INT(A56),$A$4:$D$86,4,0)*D56)*VLOOKUP($A$1,'TOP LEVEL'!$B$4:$D$64,3,0)),"FIND MANUALLY")</f>
        <v>2</v>
      </c>
      <c r="I56">
        <f>IF((LEN(A56)-LEN(SUBSTITUTE(A56,".","")))=0,D56*VLOOKUP($A$1,'TOP LEVEL'!$B$4:$D$64,3,0),D56*VLOOKUP(IF((LEN(A56)-LEN(SUBSTITUTE(A56,".","")))&lt;=2,VALUE(LEFT(A56,(FIND("@",SUBSTITUTE(A56,".","@",LEN(A56)-LEN(SUBSTITUTE(A56,".",""))),1))-1)),LEFT(A56,(FIND("@",SUBSTITUTE(A56,".","@",LEN(A56)-LEN(SUBSTITUTE(A56,".",""))),1))-1)),$A$4:$I$86,COLUMN(I56),0))</f>
        <v>2</v>
      </c>
    </row>
    <row r="57" spans="1:9" ht="15" x14ac:dyDescent="0.3">
      <c r="A57" s="28">
        <v>20.2</v>
      </c>
      <c r="B57" s="2" t="s">
        <v>184</v>
      </c>
      <c r="C57" s="2" t="s">
        <v>93</v>
      </c>
      <c r="D57" s="2">
        <v>1</v>
      </c>
      <c r="E57" s="2" t="s">
        <v>93</v>
      </c>
      <c r="F57" s="2" t="s">
        <v>10</v>
      </c>
      <c r="G57" s="9" t="s">
        <v>11</v>
      </c>
      <c r="H57" s="10">
        <f>IF(ISNUMBER(A57),IF(INT(A57)=A57,D57*VLOOKUP($A$1,'TOP LEVEL'!$B$4:$D$64,3,0),(VLOOKUP(INT(A57),$A$4:$D$86,4,0)*D57)*VLOOKUP($A$1,'TOP LEVEL'!$B$4:$D$64,3,0)),"FIND MANUALLY")</f>
        <v>2</v>
      </c>
      <c r="I57">
        <f>IF((LEN(A57)-LEN(SUBSTITUTE(A57,".","")))=0,D57*VLOOKUP($A$1,'TOP LEVEL'!$B$4:$D$64,3,0),D57*VLOOKUP(IF((LEN(A57)-LEN(SUBSTITUTE(A57,".","")))&lt;=2,VALUE(LEFT(A57,(FIND("@",SUBSTITUTE(A57,".","@",LEN(A57)-LEN(SUBSTITUTE(A57,".",""))),1))-1)),LEFT(A57,(FIND("@",SUBSTITUTE(A57,".","@",LEN(A57)-LEN(SUBSTITUTE(A57,".",""))),1))-1)),$A$4:$I$86,COLUMN(I57),0))</f>
        <v>2</v>
      </c>
    </row>
    <row r="58" spans="1:9" ht="15" x14ac:dyDescent="0.3">
      <c r="A58" s="28">
        <v>20.3</v>
      </c>
      <c r="B58" s="2" t="s">
        <v>185</v>
      </c>
      <c r="C58" s="2" t="s">
        <v>93</v>
      </c>
      <c r="D58" s="2">
        <v>1</v>
      </c>
      <c r="E58" s="2" t="s">
        <v>93</v>
      </c>
      <c r="F58" s="2" t="s">
        <v>10</v>
      </c>
      <c r="G58" s="9" t="s">
        <v>11</v>
      </c>
      <c r="H58" s="10">
        <f>IF(ISNUMBER(A58),IF(INT(A58)=A58,D58*VLOOKUP($A$1,'TOP LEVEL'!$B$4:$D$64,3,0),(VLOOKUP(INT(A58),$A$4:$D$86,4,0)*D58)*VLOOKUP($A$1,'TOP LEVEL'!$B$4:$D$64,3,0)),"FIND MANUALLY")</f>
        <v>2</v>
      </c>
      <c r="I58">
        <f>IF((LEN(A58)-LEN(SUBSTITUTE(A58,".","")))=0,D58*VLOOKUP($A$1,'TOP LEVEL'!$B$4:$D$64,3,0),D58*VLOOKUP(IF((LEN(A58)-LEN(SUBSTITUTE(A58,".","")))&lt;=2,VALUE(LEFT(A58,(FIND("@",SUBSTITUTE(A58,".","@",LEN(A58)-LEN(SUBSTITUTE(A58,".",""))),1))-1)),LEFT(A58,(FIND("@",SUBSTITUTE(A58,".","@",LEN(A58)-LEN(SUBSTITUTE(A58,".",""))),1))-1)),$A$4:$I$86,COLUMN(I58),0))</f>
        <v>2</v>
      </c>
    </row>
    <row r="59" spans="1:9" ht="15" x14ac:dyDescent="0.3">
      <c r="A59" s="28">
        <v>21</v>
      </c>
      <c r="B59" s="2" t="s">
        <v>186</v>
      </c>
      <c r="C59" s="2" t="s">
        <v>116</v>
      </c>
      <c r="D59" s="2">
        <v>1</v>
      </c>
      <c r="E59" s="2" t="s">
        <v>82</v>
      </c>
      <c r="F59" s="2" t="s">
        <v>10</v>
      </c>
      <c r="G59" s="9" t="s">
        <v>11</v>
      </c>
      <c r="H59" s="10">
        <f>IF(ISNUMBER(A59),IF(INT(A59)=A59,D59*VLOOKUP($A$1,'TOP LEVEL'!$B$4:$D$64,3,0),(VLOOKUP(INT(A59),$A$4:$D$86,4,0)*D59)*VLOOKUP($A$1,'TOP LEVEL'!$B$4:$D$64,3,0)),"FIND MANUALLY")</f>
        <v>2</v>
      </c>
      <c r="I59">
        <f>IF((LEN(A59)-LEN(SUBSTITUTE(A59,".","")))=0,D59*VLOOKUP($A$1,'TOP LEVEL'!$B$4:$D$64,3,0),D59*VLOOKUP(IF((LEN(A59)-LEN(SUBSTITUTE(A59,".","")))&lt;=2,VALUE(LEFT(A59,(FIND("@",SUBSTITUTE(A59,".","@",LEN(A59)-LEN(SUBSTITUTE(A59,".",""))),1))-1)),LEFT(A59,(FIND("@",SUBSTITUTE(A59,".","@",LEN(A59)-LEN(SUBSTITUTE(A59,".",""))),1))-1)),$A$4:$I$86,COLUMN(I59),0))</f>
        <v>2</v>
      </c>
    </row>
    <row r="60" spans="1:9" ht="15" x14ac:dyDescent="0.3">
      <c r="A60" s="28">
        <v>21.1</v>
      </c>
      <c r="B60" s="2" t="s">
        <v>187</v>
      </c>
      <c r="C60" s="2" t="s">
        <v>93</v>
      </c>
      <c r="D60" s="2">
        <v>1</v>
      </c>
      <c r="E60" s="2" t="s">
        <v>93</v>
      </c>
      <c r="F60" s="2" t="s">
        <v>10</v>
      </c>
      <c r="G60" s="9" t="s">
        <v>11</v>
      </c>
      <c r="H60" s="10">
        <f>IF(ISNUMBER(A60),IF(INT(A60)=A60,D60*VLOOKUP($A$1,'TOP LEVEL'!$B$4:$D$64,3,0),(VLOOKUP(INT(A60),$A$4:$D$86,4,0)*D60)*VLOOKUP($A$1,'TOP LEVEL'!$B$4:$D$64,3,0)),"FIND MANUALLY")</f>
        <v>2</v>
      </c>
      <c r="I60">
        <f>IF((LEN(A60)-LEN(SUBSTITUTE(A60,".","")))=0,D60*VLOOKUP($A$1,'TOP LEVEL'!$B$4:$D$64,3,0),D60*VLOOKUP(IF((LEN(A60)-LEN(SUBSTITUTE(A60,".","")))&lt;=2,VALUE(LEFT(A60,(FIND("@",SUBSTITUTE(A60,".","@",LEN(A60)-LEN(SUBSTITUTE(A60,".",""))),1))-1)),LEFT(A60,(FIND("@",SUBSTITUTE(A60,".","@",LEN(A60)-LEN(SUBSTITUTE(A60,".",""))),1))-1)),$A$4:$I$86,COLUMN(I60),0))</f>
        <v>2</v>
      </c>
    </row>
    <row r="61" spans="1:9" ht="15" x14ac:dyDescent="0.3">
      <c r="A61" s="28">
        <v>21.2</v>
      </c>
      <c r="B61" s="2" t="s">
        <v>118</v>
      </c>
      <c r="C61" s="2" t="s">
        <v>93</v>
      </c>
      <c r="D61" s="2">
        <v>2</v>
      </c>
      <c r="E61" s="2" t="s">
        <v>93</v>
      </c>
      <c r="F61" s="2" t="s">
        <v>10</v>
      </c>
      <c r="G61" s="9" t="s">
        <v>11</v>
      </c>
      <c r="H61" s="10">
        <f>IF(ISNUMBER(A61),IF(INT(A61)=A61,D61*VLOOKUP($A$1,'TOP LEVEL'!$B$4:$D$64,3,0),(VLOOKUP(INT(A61),$A$4:$D$86,4,0)*D61)*VLOOKUP($A$1,'TOP LEVEL'!$B$4:$D$64,3,0)),"FIND MANUALLY")</f>
        <v>4</v>
      </c>
      <c r="I61">
        <f>IF((LEN(A61)-LEN(SUBSTITUTE(A61,".","")))=0,D61*VLOOKUP($A$1,'TOP LEVEL'!$B$4:$D$64,3,0),D61*VLOOKUP(IF((LEN(A61)-LEN(SUBSTITUTE(A61,".","")))&lt;=2,VALUE(LEFT(A61,(FIND("@",SUBSTITUTE(A61,".","@",LEN(A61)-LEN(SUBSTITUTE(A61,".",""))),1))-1)),LEFT(A61,(FIND("@",SUBSTITUTE(A61,".","@",LEN(A61)-LEN(SUBSTITUTE(A61,".",""))),1))-1)),$A$4:$I$86,COLUMN(I61),0))</f>
        <v>4</v>
      </c>
    </row>
    <row r="62" spans="1:9" ht="15" x14ac:dyDescent="0.3">
      <c r="A62" s="28">
        <v>21.3</v>
      </c>
      <c r="B62" s="2" t="s">
        <v>119</v>
      </c>
      <c r="C62" s="2" t="s">
        <v>120</v>
      </c>
      <c r="D62" s="2">
        <v>1</v>
      </c>
      <c r="E62" s="2" t="s">
        <v>90</v>
      </c>
      <c r="F62" s="2" t="s">
        <v>10</v>
      </c>
      <c r="G62" s="9" t="s">
        <v>11</v>
      </c>
      <c r="H62" s="10">
        <f>IF(ISNUMBER(A62),IF(INT(A62)=A62,D62*VLOOKUP($A$1,'TOP LEVEL'!$B$4:$D$64,3,0),(VLOOKUP(INT(A62),$A$4:$D$86,4,0)*D62)*VLOOKUP($A$1,'TOP LEVEL'!$B$4:$D$64,3,0)),"FIND MANUALLY")</f>
        <v>2</v>
      </c>
      <c r="I62">
        <f>IF((LEN(A62)-LEN(SUBSTITUTE(A62,".","")))=0,D62*VLOOKUP($A$1,'TOP LEVEL'!$B$4:$D$64,3,0),D62*VLOOKUP(IF((LEN(A62)-LEN(SUBSTITUTE(A62,".","")))&lt;=2,VALUE(LEFT(A62,(FIND("@",SUBSTITUTE(A62,".","@",LEN(A62)-LEN(SUBSTITUTE(A62,".",""))),1))-1)),LEFT(A62,(FIND("@",SUBSTITUTE(A62,".","@",LEN(A62)-LEN(SUBSTITUTE(A62,".",""))),1))-1)),$A$4:$I$86,COLUMN(I62),0))</f>
        <v>2</v>
      </c>
    </row>
    <row r="63" spans="1:9" ht="15" x14ac:dyDescent="0.3">
      <c r="A63" s="28">
        <v>21.4</v>
      </c>
      <c r="B63" s="2" t="s">
        <v>188</v>
      </c>
      <c r="C63" s="2" t="s">
        <v>189</v>
      </c>
      <c r="D63" s="2">
        <v>1</v>
      </c>
      <c r="E63" s="2" t="s">
        <v>90</v>
      </c>
      <c r="F63" s="2" t="s">
        <v>10</v>
      </c>
      <c r="G63" s="9" t="s">
        <v>11</v>
      </c>
      <c r="H63" s="10">
        <f>IF(ISNUMBER(A63),IF(INT(A63)=A63,D63*VLOOKUP($A$1,'TOP LEVEL'!$B$4:$D$64,3,0),(VLOOKUP(INT(A63),$A$4:$D$86,4,0)*D63)*VLOOKUP($A$1,'TOP LEVEL'!$B$4:$D$64,3,0)),"FIND MANUALLY")</f>
        <v>2</v>
      </c>
      <c r="I63">
        <f>IF((LEN(A63)-LEN(SUBSTITUTE(A63,".","")))=0,D63*VLOOKUP($A$1,'TOP LEVEL'!$B$4:$D$64,3,0),D63*VLOOKUP(IF((LEN(A63)-LEN(SUBSTITUTE(A63,".","")))&lt;=2,VALUE(LEFT(A63,(FIND("@",SUBSTITUTE(A63,".","@",LEN(A63)-LEN(SUBSTITUTE(A63,".",""))),1))-1)),LEFT(A63,(FIND("@",SUBSTITUTE(A63,".","@",LEN(A63)-LEN(SUBSTITUTE(A63,".",""))),1))-1)),$A$4:$I$86,COLUMN(I63),0))</f>
        <v>2</v>
      </c>
    </row>
    <row r="64" spans="1:9" ht="15" x14ac:dyDescent="0.3">
      <c r="A64" s="28">
        <v>22</v>
      </c>
      <c r="B64" s="2" t="s">
        <v>190</v>
      </c>
      <c r="C64" s="2" t="s">
        <v>191</v>
      </c>
      <c r="D64" s="2">
        <v>4</v>
      </c>
      <c r="E64" s="2" t="s">
        <v>85</v>
      </c>
      <c r="F64" s="2" t="s">
        <v>15</v>
      </c>
      <c r="G64" s="9"/>
      <c r="H64" s="10">
        <f>IF(ISNUMBER(A64),IF(INT(A64)=A64,D64*VLOOKUP($A$1,'TOP LEVEL'!$B$4:$D$64,3,0),(VLOOKUP(INT(A64),$A$4:$D$86,4,0)*D64)*VLOOKUP($A$1,'TOP LEVEL'!$B$4:$D$64,3,0)),"FIND MANUALLY")</f>
        <v>8</v>
      </c>
      <c r="I64">
        <f>IF((LEN(A64)-LEN(SUBSTITUTE(A64,".","")))=0,D64*VLOOKUP($A$1,'TOP LEVEL'!$B$4:$D$64,3,0),D64*VLOOKUP(IF((LEN(A64)-LEN(SUBSTITUTE(A64,".","")))&lt;=2,VALUE(LEFT(A64,(FIND("@",SUBSTITUTE(A64,".","@",LEN(A64)-LEN(SUBSTITUTE(A64,".",""))),1))-1)),LEFT(A64,(FIND("@",SUBSTITUTE(A64,".","@",LEN(A64)-LEN(SUBSTITUTE(A64,".",""))),1))-1)),$A$4:$I$86,COLUMN(I64),0))</f>
        <v>8</v>
      </c>
    </row>
    <row r="65" spans="1:9" ht="15" x14ac:dyDescent="0.3">
      <c r="A65" s="28">
        <v>23</v>
      </c>
      <c r="B65" s="2" t="s">
        <v>192</v>
      </c>
      <c r="C65" s="2" t="s">
        <v>191</v>
      </c>
      <c r="D65" s="2">
        <v>4</v>
      </c>
      <c r="E65" s="2" t="s">
        <v>85</v>
      </c>
      <c r="F65" s="2" t="s">
        <v>15</v>
      </c>
      <c r="G65" s="9"/>
      <c r="H65" s="10">
        <f>IF(ISNUMBER(A65),IF(INT(A65)=A65,D65*VLOOKUP($A$1,'TOP LEVEL'!$B$4:$D$64,3,0),(VLOOKUP(INT(A65),$A$4:$D$86,4,0)*D65)*VLOOKUP($A$1,'TOP LEVEL'!$B$4:$D$64,3,0)),"FIND MANUALLY")</f>
        <v>8</v>
      </c>
      <c r="I65">
        <f>IF((LEN(A65)-LEN(SUBSTITUTE(A65,".","")))=0,D65*VLOOKUP($A$1,'TOP LEVEL'!$B$4:$D$64,3,0),D65*VLOOKUP(IF((LEN(A65)-LEN(SUBSTITUTE(A65,".","")))&lt;=2,VALUE(LEFT(A65,(FIND("@",SUBSTITUTE(A65,".","@",LEN(A65)-LEN(SUBSTITUTE(A65,".",""))),1))-1)),LEFT(A65,(FIND("@",SUBSTITUTE(A65,".","@",LEN(A65)-LEN(SUBSTITUTE(A65,".",""))),1))-1)),$A$4:$I$86,COLUMN(I65),0))</f>
        <v>8</v>
      </c>
    </row>
    <row r="66" spans="1:9" ht="15" x14ac:dyDescent="0.3">
      <c r="A66" s="28">
        <v>24</v>
      </c>
      <c r="B66" s="2" t="s">
        <v>193</v>
      </c>
      <c r="C66" s="2" t="s">
        <v>126</v>
      </c>
      <c r="D66" s="2">
        <v>4</v>
      </c>
      <c r="E66" s="2" t="s">
        <v>90</v>
      </c>
      <c r="F66" s="2" t="s">
        <v>10</v>
      </c>
      <c r="G66" s="9" t="s">
        <v>11</v>
      </c>
      <c r="H66" s="10">
        <f>IF(ISNUMBER(A66),IF(INT(A66)=A66,D66*VLOOKUP($A$1,'TOP LEVEL'!$B$4:$D$64,3,0),(VLOOKUP(INT(A66),$A$4:$D$86,4,0)*D66)*VLOOKUP($A$1,'TOP LEVEL'!$B$4:$D$64,3,0)),"FIND MANUALLY")</f>
        <v>8</v>
      </c>
      <c r="I66">
        <f>IF((LEN(A66)-LEN(SUBSTITUTE(A66,".","")))=0,D66*VLOOKUP($A$1,'TOP LEVEL'!$B$4:$D$64,3,0),D66*VLOOKUP(IF((LEN(A66)-LEN(SUBSTITUTE(A66,".","")))&lt;=2,VALUE(LEFT(A66,(FIND("@",SUBSTITUTE(A66,".","@",LEN(A66)-LEN(SUBSTITUTE(A66,".",""))),1))-1)),LEFT(A66,(FIND("@",SUBSTITUTE(A66,".","@",LEN(A66)-LEN(SUBSTITUTE(A66,".",""))),1))-1)),$A$4:$I$86,COLUMN(I66),0))</f>
        <v>8</v>
      </c>
    </row>
    <row r="67" spans="1:9" ht="15" x14ac:dyDescent="0.3">
      <c r="A67" s="28">
        <v>25</v>
      </c>
      <c r="B67" s="2" t="s">
        <v>194</v>
      </c>
      <c r="C67" s="2" t="s">
        <v>195</v>
      </c>
      <c r="D67" s="2">
        <v>1</v>
      </c>
      <c r="E67" s="2" t="s">
        <v>82</v>
      </c>
      <c r="F67" s="2" t="s">
        <v>10</v>
      </c>
      <c r="G67" s="9" t="s">
        <v>11</v>
      </c>
      <c r="H67" s="10">
        <f>IF(ISNUMBER(A67),IF(INT(A67)=A67,D67*VLOOKUP($A$1,'TOP LEVEL'!$B$4:$D$64,3,0),(VLOOKUP(INT(A67),$A$4:$D$86,4,0)*D67)*VLOOKUP($A$1,'TOP LEVEL'!$B$4:$D$64,3,0)),"FIND MANUALLY")</f>
        <v>2</v>
      </c>
      <c r="I67">
        <f>IF((LEN(A67)-LEN(SUBSTITUTE(A67,".","")))=0,D67*VLOOKUP($A$1,'TOP LEVEL'!$B$4:$D$64,3,0),D67*VLOOKUP(IF((LEN(A67)-LEN(SUBSTITUTE(A67,".","")))&lt;=2,VALUE(LEFT(A67,(FIND("@",SUBSTITUTE(A67,".","@",LEN(A67)-LEN(SUBSTITUTE(A67,".",""))),1))-1)),LEFT(A67,(FIND("@",SUBSTITUTE(A67,".","@",LEN(A67)-LEN(SUBSTITUTE(A67,".",""))),1))-1)),$A$4:$I$86,COLUMN(I67),0))</f>
        <v>2</v>
      </c>
    </row>
    <row r="68" spans="1:9" ht="15" x14ac:dyDescent="0.3">
      <c r="A68" s="28">
        <v>25.1</v>
      </c>
      <c r="B68" s="2" t="s">
        <v>196</v>
      </c>
      <c r="C68" s="2" t="s">
        <v>197</v>
      </c>
      <c r="D68" s="2">
        <v>1</v>
      </c>
      <c r="E68" s="2" t="s">
        <v>93</v>
      </c>
      <c r="F68" s="2" t="s">
        <v>10</v>
      </c>
      <c r="G68" s="9" t="s">
        <v>11</v>
      </c>
      <c r="H68" s="10">
        <f>IF(ISNUMBER(A68),IF(INT(A68)=A68,D68*VLOOKUP($A$1,'TOP LEVEL'!$B$4:$D$64,3,0),(VLOOKUP(INT(A68),$A$4:$D$86,4,0)*D68)*VLOOKUP($A$1,'TOP LEVEL'!$B$4:$D$64,3,0)),"FIND MANUALLY")</f>
        <v>2</v>
      </c>
      <c r="I68">
        <f>IF((LEN(A68)-LEN(SUBSTITUTE(A68,".","")))=0,D68*VLOOKUP($A$1,'TOP LEVEL'!$B$4:$D$64,3,0),D68*VLOOKUP(IF((LEN(A68)-LEN(SUBSTITUTE(A68,".","")))&lt;=2,VALUE(LEFT(A68,(FIND("@",SUBSTITUTE(A68,".","@",LEN(A68)-LEN(SUBSTITUTE(A68,".",""))),1))-1)),LEFT(A68,(FIND("@",SUBSTITUTE(A68,".","@",LEN(A68)-LEN(SUBSTITUTE(A68,".",""))),1))-1)),$A$4:$I$86,COLUMN(I68),0))</f>
        <v>2</v>
      </c>
    </row>
    <row r="69" spans="1:9" ht="15" x14ac:dyDescent="0.3">
      <c r="A69" s="28">
        <v>25.1</v>
      </c>
      <c r="B69" s="2" t="s">
        <v>198</v>
      </c>
      <c r="C69" s="2" t="s">
        <v>197</v>
      </c>
      <c r="D69" s="2">
        <v>1</v>
      </c>
      <c r="E69" s="2" t="s">
        <v>93</v>
      </c>
      <c r="F69" s="2" t="s">
        <v>10</v>
      </c>
      <c r="G69" s="9" t="s">
        <v>11</v>
      </c>
      <c r="H69" s="10">
        <f>IF(ISNUMBER(A69),IF(INT(A69)=A69,D69*VLOOKUP($A$1,'TOP LEVEL'!$B$4:$D$64,3,0),(VLOOKUP(INT(A69),$A$4:$D$86,4,0)*D69)*VLOOKUP($A$1,'TOP LEVEL'!$B$4:$D$64,3,0)),"FIND MANUALLY")</f>
        <v>2</v>
      </c>
      <c r="I69">
        <f>IF((LEN(A69)-LEN(SUBSTITUTE(A69,".","")))=0,D69*VLOOKUP($A$1,'TOP LEVEL'!$B$4:$D$64,3,0),D69*VLOOKUP(IF((LEN(A69)-LEN(SUBSTITUTE(A69,".","")))&lt;=2,VALUE(LEFT(A69,(FIND("@",SUBSTITUTE(A69,".","@",LEN(A69)-LEN(SUBSTITUTE(A69,".",""))),1))-1)),LEFT(A69,(FIND("@",SUBSTITUTE(A69,".","@",LEN(A69)-LEN(SUBSTITUTE(A69,".",""))),1))-1)),$A$4:$I$86,COLUMN(I69),0))</f>
        <v>2</v>
      </c>
    </row>
    <row r="70" spans="1:9" ht="15" x14ac:dyDescent="0.3">
      <c r="A70" s="28">
        <v>26</v>
      </c>
      <c r="B70" s="2" t="s">
        <v>199</v>
      </c>
      <c r="C70" s="2" t="s">
        <v>195</v>
      </c>
      <c r="D70" s="2">
        <v>1</v>
      </c>
      <c r="E70" s="2" t="s">
        <v>82</v>
      </c>
      <c r="F70" s="2" t="s">
        <v>10</v>
      </c>
      <c r="G70" s="9" t="s">
        <v>11</v>
      </c>
      <c r="H70" s="10">
        <f>IF(ISNUMBER(A70),IF(INT(A70)=A70,D70*VLOOKUP($A$1,'TOP LEVEL'!$B$4:$D$64,3,0),(VLOOKUP(INT(A70),$A$4:$D$86,4,0)*D70)*VLOOKUP($A$1,'TOP LEVEL'!$B$4:$D$64,3,0)),"FIND MANUALLY")</f>
        <v>2</v>
      </c>
      <c r="I70">
        <f>IF((LEN(A70)-LEN(SUBSTITUTE(A70,".","")))=0,D70*VLOOKUP($A$1,'TOP LEVEL'!$B$4:$D$64,3,0),D70*VLOOKUP(IF((LEN(A70)-LEN(SUBSTITUTE(A70,".","")))&lt;=2,VALUE(LEFT(A70,(FIND("@",SUBSTITUTE(A70,".","@",LEN(A70)-LEN(SUBSTITUTE(A70,".",""))),1))-1)),LEFT(A70,(FIND("@",SUBSTITUTE(A70,".","@",LEN(A70)-LEN(SUBSTITUTE(A70,".",""))),1))-1)),$A$4:$I$86,COLUMN(I70),0))</f>
        <v>2</v>
      </c>
    </row>
    <row r="71" spans="1:9" ht="15" x14ac:dyDescent="0.3">
      <c r="A71" s="28">
        <v>26.1</v>
      </c>
      <c r="B71" s="2" t="s">
        <v>196</v>
      </c>
      <c r="C71" s="2" t="s">
        <v>197</v>
      </c>
      <c r="D71" s="2">
        <v>1</v>
      </c>
      <c r="E71" s="2" t="s">
        <v>93</v>
      </c>
      <c r="F71" s="2" t="s">
        <v>10</v>
      </c>
      <c r="G71" s="9" t="s">
        <v>11</v>
      </c>
      <c r="H71" s="10">
        <f>IF(ISNUMBER(A71),IF(INT(A71)=A71,D71*VLOOKUP($A$1,'TOP LEVEL'!$B$4:$D$64,3,0),(VLOOKUP(INT(A71),$A$4:$D$86,4,0)*D71)*VLOOKUP($A$1,'TOP LEVEL'!$B$4:$D$64,3,0)),"FIND MANUALLY")</f>
        <v>2</v>
      </c>
      <c r="I71">
        <f>IF((LEN(A71)-LEN(SUBSTITUTE(A71,".","")))=0,D71*VLOOKUP($A$1,'TOP LEVEL'!$B$4:$D$64,3,0),D71*VLOOKUP(IF((LEN(A71)-LEN(SUBSTITUTE(A71,".","")))&lt;=2,VALUE(LEFT(A71,(FIND("@",SUBSTITUTE(A71,".","@",LEN(A71)-LEN(SUBSTITUTE(A71,".",""))),1))-1)),LEFT(A71,(FIND("@",SUBSTITUTE(A71,".","@",LEN(A71)-LEN(SUBSTITUTE(A71,".",""))),1))-1)),$A$4:$I$86,COLUMN(I71),0))</f>
        <v>2</v>
      </c>
    </row>
    <row r="72" spans="1:9" ht="15" x14ac:dyDescent="0.3">
      <c r="A72" s="28">
        <v>26.1</v>
      </c>
      <c r="B72" s="2" t="s">
        <v>198</v>
      </c>
      <c r="C72" s="2" t="s">
        <v>197</v>
      </c>
      <c r="D72" s="2">
        <v>1</v>
      </c>
      <c r="E72" s="2" t="s">
        <v>93</v>
      </c>
      <c r="F72" s="2" t="s">
        <v>10</v>
      </c>
      <c r="G72" s="9" t="s">
        <v>11</v>
      </c>
      <c r="H72" s="10">
        <f>IF(ISNUMBER(A72),IF(INT(A72)=A72,D72*VLOOKUP($A$1,'TOP LEVEL'!$B$4:$D$64,3,0),(VLOOKUP(INT(A72),$A$4:$D$86,4,0)*D72)*VLOOKUP($A$1,'TOP LEVEL'!$B$4:$D$64,3,0)),"FIND MANUALLY")</f>
        <v>2</v>
      </c>
      <c r="I72">
        <f>IF((LEN(A72)-LEN(SUBSTITUTE(A72,".","")))=0,D72*VLOOKUP($A$1,'TOP LEVEL'!$B$4:$D$64,3,0),D72*VLOOKUP(IF((LEN(A72)-LEN(SUBSTITUTE(A72,".","")))&lt;=2,VALUE(LEFT(A72,(FIND("@",SUBSTITUTE(A72,".","@",LEN(A72)-LEN(SUBSTITUTE(A72,".",""))),1))-1)),LEFT(A72,(FIND("@",SUBSTITUTE(A72,".","@",LEN(A72)-LEN(SUBSTITUTE(A72,".",""))),1))-1)),$A$4:$I$86,COLUMN(I72),0))</f>
        <v>2</v>
      </c>
    </row>
    <row r="73" spans="1:9" ht="15" x14ac:dyDescent="0.3">
      <c r="A73" s="28">
        <v>27</v>
      </c>
      <c r="B73" s="2" t="s">
        <v>200</v>
      </c>
      <c r="C73" s="2" t="s">
        <v>93</v>
      </c>
      <c r="D73" s="2">
        <v>2</v>
      </c>
      <c r="E73" s="2" t="s">
        <v>93</v>
      </c>
      <c r="F73" s="2" t="s">
        <v>10</v>
      </c>
      <c r="G73" s="9" t="s">
        <v>11</v>
      </c>
      <c r="H73" s="10">
        <f>IF(ISNUMBER(A73),IF(INT(A73)=A73,D73*VLOOKUP($A$1,'TOP LEVEL'!$B$4:$D$64,3,0),(VLOOKUP(INT(A73),$A$4:$D$86,4,0)*D73)*VLOOKUP($A$1,'TOP LEVEL'!$B$4:$D$64,3,0)),"FIND MANUALLY")</f>
        <v>4</v>
      </c>
      <c r="I73">
        <f>IF((LEN(A73)-LEN(SUBSTITUTE(A73,".","")))=0,D73*VLOOKUP($A$1,'TOP LEVEL'!$B$4:$D$64,3,0),D73*VLOOKUP(IF((LEN(A73)-LEN(SUBSTITUTE(A73,".","")))&lt;=2,VALUE(LEFT(A73,(FIND("@",SUBSTITUTE(A73,".","@",LEN(A73)-LEN(SUBSTITUTE(A73,".",""))),1))-1)),LEFT(A73,(FIND("@",SUBSTITUTE(A73,".","@",LEN(A73)-LEN(SUBSTITUTE(A73,".",""))),1))-1)),$A$4:$I$86,COLUMN(I73),0))</f>
        <v>4</v>
      </c>
    </row>
    <row r="74" spans="1:9" ht="15" x14ac:dyDescent="0.3">
      <c r="A74" s="28">
        <v>28</v>
      </c>
      <c r="B74" s="2" t="s">
        <v>201</v>
      </c>
      <c r="C74" s="2" t="s">
        <v>93</v>
      </c>
      <c r="D74" s="2">
        <v>2</v>
      </c>
      <c r="E74" s="2" t="s">
        <v>93</v>
      </c>
      <c r="F74" s="2" t="s">
        <v>10</v>
      </c>
      <c r="G74" s="9" t="s">
        <v>11</v>
      </c>
      <c r="H74" s="10">
        <f>IF(ISNUMBER(A74),IF(INT(A74)=A74,D74*VLOOKUP($A$1,'TOP LEVEL'!$B$4:$D$64,3,0),(VLOOKUP(INT(A74),$A$4:$D$86,4,0)*D74)*VLOOKUP($A$1,'TOP LEVEL'!$B$4:$D$64,3,0)),"FIND MANUALLY")</f>
        <v>4</v>
      </c>
      <c r="I74">
        <f>IF((LEN(A74)-LEN(SUBSTITUTE(A74,".","")))=0,D74*VLOOKUP($A$1,'TOP LEVEL'!$B$4:$D$64,3,0),D74*VLOOKUP(IF((LEN(A74)-LEN(SUBSTITUTE(A74,".","")))&lt;=2,VALUE(LEFT(A74,(FIND("@",SUBSTITUTE(A74,".","@",LEN(A74)-LEN(SUBSTITUTE(A74,".",""))),1))-1)),LEFT(A74,(FIND("@",SUBSTITUTE(A74,".","@",LEN(A74)-LEN(SUBSTITUTE(A74,".",""))),1))-1)),$A$4:$I$86,COLUMN(I74),0))</f>
        <v>4</v>
      </c>
    </row>
    <row r="75" spans="1:9" ht="15" x14ac:dyDescent="0.3">
      <c r="A75" s="28">
        <v>29</v>
      </c>
      <c r="B75" s="2" t="s">
        <v>202</v>
      </c>
      <c r="C75" s="2" t="s">
        <v>203</v>
      </c>
      <c r="D75" s="2">
        <v>2</v>
      </c>
      <c r="E75" s="2" t="s">
        <v>90</v>
      </c>
      <c r="F75" s="2" t="s">
        <v>10</v>
      </c>
      <c r="G75" s="9" t="s">
        <v>11</v>
      </c>
      <c r="H75" s="10">
        <f>IF(ISNUMBER(A75),IF(INT(A75)=A75,D75*VLOOKUP($A$1,'TOP LEVEL'!$B$4:$D$64,3,0),(VLOOKUP(INT(A75),$A$4:$D$86,4,0)*D75)*VLOOKUP($A$1,'TOP LEVEL'!$B$4:$D$64,3,0)),"FIND MANUALLY")</f>
        <v>4</v>
      </c>
      <c r="I75">
        <f>IF((LEN(A75)-LEN(SUBSTITUTE(A75,".","")))=0,D75*VLOOKUP($A$1,'TOP LEVEL'!$B$4:$D$64,3,0),D75*VLOOKUP(IF((LEN(A75)-LEN(SUBSTITUTE(A75,".","")))&lt;=2,VALUE(LEFT(A75,(FIND("@",SUBSTITUTE(A75,".","@",LEN(A75)-LEN(SUBSTITUTE(A75,".",""))),1))-1)),LEFT(A75,(FIND("@",SUBSTITUTE(A75,".","@",LEN(A75)-LEN(SUBSTITUTE(A75,".",""))),1))-1)),$A$4:$I$86,COLUMN(I75),0))</f>
        <v>4</v>
      </c>
    </row>
    <row r="76" spans="1:9" ht="15" x14ac:dyDescent="0.3">
      <c r="A76" s="28">
        <v>30</v>
      </c>
      <c r="B76" s="2" t="s">
        <v>204</v>
      </c>
      <c r="C76" s="2" t="s">
        <v>160</v>
      </c>
      <c r="D76" s="2">
        <v>1</v>
      </c>
      <c r="E76" s="2" t="s">
        <v>90</v>
      </c>
      <c r="F76" s="2" t="s">
        <v>10</v>
      </c>
      <c r="G76" s="9" t="s">
        <v>11</v>
      </c>
      <c r="H76" s="10">
        <f>IF(ISNUMBER(A76),IF(INT(A76)=A76,D76*VLOOKUP($A$1,'TOP LEVEL'!$B$4:$D$64,3,0),(VLOOKUP(INT(A76),$A$4:$D$86,4,0)*D76)*VLOOKUP($A$1,'TOP LEVEL'!$B$4:$D$64,3,0)),"FIND MANUALLY")</f>
        <v>2</v>
      </c>
      <c r="I76">
        <f>IF((LEN(A76)-LEN(SUBSTITUTE(A76,".","")))=0,D76*VLOOKUP($A$1,'TOP LEVEL'!$B$4:$D$64,3,0),D76*VLOOKUP(IF((LEN(A76)-LEN(SUBSTITUTE(A76,".","")))&lt;=2,VALUE(LEFT(A76,(FIND("@",SUBSTITUTE(A76,".","@",LEN(A76)-LEN(SUBSTITUTE(A76,".",""))),1))-1)),LEFT(A76,(FIND("@",SUBSTITUTE(A76,".","@",LEN(A76)-LEN(SUBSTITUTE(A76,".",""))),1))-1)),$A$4:$I$86,COLUMN(I76),0))</f>
        <v>2</v>
      </c>
    </row>
    <row r="77" spans="1:9" ht="15" x14ac:dyDescent="0.3">
      <c r="A77" s="28">
        <v>31</v>
      </c>
      <c r="B77" s="2" t="s">
        <v>205</v>
      </c>
      <c r="C77" s="2" t="s">
        <v>206</v>
      </c>
      <c r="D77" s="2">
        <v>1</v>
      </c>
      <c r="E77" s="2" t="s">
        <v>90</v>
      </c>
      <c r="F77" s="2" t="s">
        <v>10</v>
      </c>
      <c r="G77" s="9" t="s">
        <v>11</v>
      </c>
      <c r="H77" s="10">
        <f>IF(ISNUMBER(A77),IF(INT(A77)=A77,D77*VLOOKUP($A$1,'TOP LEVEL'!$B$4:$D$64,3,0),(VLOOKUP(INT(A77),$A$4:$D$86,4,0)*D77)*VLOOKUP($A$1,'TOP LEVEL'!$B$4:$D$64,3,0)),"FIND MANUALLY")</f>
        <v>2</v>
      </c>
      <c r="I77">
        <f>IF((LEN(A77)-LEN(SUBSTITUTE(A77,".","")))=0,D77*VLOOKUP($A$1,'TOP LEVEL'!$B$4:$D$64,3,0),D77*VLOOKUP(IF((LEN(A77)-LEN(SUBSTITUTE(A77,".","")))&lt;=2,VALUE(LEFT(A77,(FIND("@",SUBSTITUTE(A77,".","@",LEN(A77)-LEN(SUBSTITUTE(A77,".",""))),1))-1)),LEFT(A77,(FIND("@",SUBSTITUTE(A77,".","@",LEN(A77)-LEN(SUBSTITUTE(A77,".",""))),1))-1)),$A$4:$I$86,COLUMN(I77),0))</f>
        <v>2</v>
      </c>
    </row>
    <row r="78" spans="1:9" ht="15" x14ac:dyDescent="0.3">
      <c r="A78" s="28">
        <v>32</v>
      </c>
      <c r="B78" s="2" t="s">
        <v>207</v>
      </c>
      <c r="C78" s="2" t="s">
        <v>206</v>
      </c>
      <c r="D78" s="2">
        <v>1</v>
      </c>
      <c r="E78" s="2" t="s">
        <v>90</v>
      </c>
      <c r="F78" s="2" t="s">
        <v>10</v>
      </c>
      <c r="G78" s="9" t="s">
        <v>11</v>
      </c>
      <c r="H78" s="10">
        <f>IF(ISNUMBER(A78),IF(INT(A78)=A78,D78*VLOOKUP($A$1,'TOP LEVEL'!$B$4:$D$64,3,0),(VLOOKUP(INT(A78),$A$4:$D$86,4,0)*D78)*VLOOKUP($A$1,'TOP LEVEL'!$B$4:$D$64,3,0)),"FIND MANUALLY")</f>
        <v>2</v>
      </c>
      <c r="I78">
        <f>IF((LEN(A78)-LEN(SUBSTITUTE(A78,".","")))=0,D78*VLOOKUP($A$1,'TOP LEVEL'!$B$4:$D$64,3,0),D78*VLOOKUP(IF((LEN(A78)-LEN(SUBSTITUTE(A78,".","")))&lt;=2,VALUE(LEFT(A78,(FIND("@",SUBSTITUTE(A78,".","@",LEN(A78)-LEN(SUBSTITUTE(A78,".",""))),1))-1)),LEFT(A78,(FIND("@",SUBSTITUTE(A78,".","@",LEN(A78)-LEN(SUBSTITUTE(A78,".",""))),1))-1)),$A$4:$I$86,COLUMN(I78),0))</f>
        <v>2</v>
      </c>
    </row>
    <row r="79" spans="1:9" ht="15" x14ac:dyDescent="0.3">
      <c r="A79" s="28">
        <v>33</v>
      </c>
      <c r="B79" s="2" t="s">
        <v>208</v>
      </c>
      <c r="C79" s="2" t="s">
        <v>160</v>
      </c>
      <c r="D79" s="2">
        <v>1</v>
      </c>
      <c r="E79" s="2" t="s">
        <v>90</v>
      </c>
      <c r="F79" s="2" t="s">
        <v>10</v>
      </c>
      <c r="G79" s="9" t="s">
        <v>11</v>
      </c>
      <c r="H79" s="10">
        <f>IF(ISNUMBER(A79),IF(INT(A79)=A79,D79*VLOOKUP($A$1,'TOP LEVEL'!$B$4:$D$64,3,0),(VLOOKUP(INT(A79),$A$4:$D$86,4,0)*D79)*VLOOKUP($A$1,'TOP LEVEL'!$B$4:$D$64,3,0)),"FIND MANUALLY")</f>
        <v>2</v>
      </c>
      <c r="I79">
        <f>IF((LEN(A79)-LEN(SUBSTITUTE(A79,".","")))=0,D79*VLOOKUP($A$1,'TOP LEVEL'!$B$4:$D$64,3,0),D79*VLOOKUP(IF((LEN(A79)-LEN(SUBSTITUTE(A79,".","")))&lt;=2,VALUE(LEFT(A79,(FIND("@",SUBSTITUTE(A79,".","@",LEN(A79)-LEN(SUBSTITUTE(A79,".",""))),1))-1)),LEFT(A79,(FIND("@",SUBSTITUTE(A79,".","@",LEN(A79)-LEN(SUBSTITUTE(A79,".",""))),1))-1)),$A$4:$I$86,COLUMN(I79),0))</f>
        <v>2</v>
      </c>
    </row>
    <row r="80" spans="1:9" ht="15" x14ac:dyDescent="0.3">
      <c r="A80" s="28">
        <v>34</v>
      </c>
      <c r="B80" s="2" t="s">
        <v>209</v>
      </c>
      <c r="C80" s="2" t="s">
        <v>210</v>
      </c>
      <c r="D80" s="2">
        <v>2</v>
      </c>
      <c r="E80" s="2" t="s">
        <v>90</v>
      </c>
      <c r="F80" s="2" t="s">
        <v>10</v>
      </c>
      <c r="G80" s="9" t="s">
        <v>11</v>
      </c>
      <c r="H80" s="10">
        <f>IF(ISNUMBER(A80),IF(INT(A80)=A80,D80*VLOOKUP($A$1,'TOP LEVEL'!$B$4:$D$64,3,0),(VLOOKUP(INT(A80),$A$4:$D$86,4,0)*D80)*VLOOKUP($A$1,'TOP LEVEL'!$B$4:$D$64,3,0)),"FIND MANUALLY")</f>
        <v>4</v>
      </c>
      <c r="I80">
        <f>IF((LEN(A80)-LEN(SUBSTITUTE(A80,".","")))=0,D80*VLOOKUP($A$1,'TOP LEVEL'!$B$4:$D$64,3,0),D80*VLOOKUP(IF((LEN(A80)-LEN(SUBSTITUTE(A80,".","")))&lt;=2,VALUE(LEFT(A80,(FIND("@",SUBSTITUTE(A80,".","@",LEN(A80)-LEN(SUBSTITUTE(A80,".",""))),1))-1)),LEFT(A80,(FIND("@",SUBSTITUTE(A80,".","@",LEN(A80)-LEN(SUBSTITUTE(A80,".",""))),1))-1)),$A$4:$I$86,COLUMN(I80),0))</f>
        <v>4</v>
      </c>
    </row>
    <row r="81" spans="1:9" ht="15" x14ac:dyDescent="0.3">
      <c r="A81" s="28">
        <v>35</v>
      </c>
      <c r="B81" s="2" t="s">
        <v>211</v>
      </c>
      <c r="C81" s="2" t="s">
        <v>212</v>
      </c>
      <c r="D81" s="2">
        <v>12</v>
      </c>
      <c r="E81" s="2" t="s">
        <v>93</v>
      </c>
      <c r="F81" s="2" t="s">
        <v>10</v>
      </c>
      <c r="G81" s="9" t="s">
        <v>11</v>
      </c>
      <c r="H81" s="10">
        <f>IF(ISNUMBER(A81),IF(INT(A81)=A81,D81*VLOOKUP($A$1,'TOP LEVEL'!$B$4:$D$64,3,0),(VLOOKUP(INT(A81),$A$4:$D$86,4,0)*D81)*VLOOKUP($A$1,'TOP LEVEL'!$B$4:$D$64,3,0)),"FIND MANUALLY")</f>
        <v>24</v>
      </c>
      <c r="I81">
        <f>IF((LEN(A81)-LEN(SUBSTITUTE(A81,".","")))=0,D81*VLOOKUP($A$1,'TOP LEVEL'!$B$4:$D$64,3,0),D81*VLOOKUP(IF((LEN(A81)-LEN(SUBSTITUTE(A81,".","")))&lt;=2,VALUE(LEFT(A81,(FIND("@",SUBSTITUTE(A81,".","@",LEN(A81)-LEN(SUBSTITUTE(A81,".",""))),1))-1)),LEFT(A81,(FIND("@",SUBSTITUTE(A81,".","@",LEN(A81)-LEN(SUBSTITUTE(A81,".",""))),1))-1)),$A$4:$I$86,COLUMN(I81),0))</f>
        <v>24</v>
      </c>
    </row>
    <row r="82" spans="1:9" ht="15" x14ac:dyDescent="0.3">
      <c r="A82" s="28">
        <v>36</v>
      </c>
      <c r="B82" s="2" t="s">
        <v>213</v>
      </c>
      <c r="C82" s="2" t="s">
        <v>174</v>
      </c>
      <c r="D82" s="2">
        <v>1</v>
      </c>
      <c r="E82" s="2" t="s">
        <v>90</v>
      </c>
      <c r="F82" s="2" t="s">
        <v>10</v>
      </c>
      <c r="G82" s="9" t="s">
        <v>11</v>
      </c>
      <c r="H82" s="10">
        <f>IF(ISNUMBER(A82),IF(INT(A82)=A82,D82*VLOOKUP($A$1,'TOP LEVEL'!$B$4:$D$64,3,0),(VLOOKUP(INT(A82),$A$4:$D$86,4,0)*D82)*VLOOKUP($A$1,'TOP LEVEL'!$B$4:$D$64,3,0)),"FIND MANUALLY")</f>
        <v>2</v>
      </c>
      <c r="I82">
        <f>IF((LEN(A82)-LEN(SUBSTITUTE(A82,".","")))=0,D82*VLOOKUP($A$1,'TOP LEVEL'!$B$4:$D$64,3,0),D82*VLOOKUP(IF((LEN(A82)-LEN(SUBSTITUTE(A82,".","")))&lt;=2,VALUE(LEFT(A82,(FIND("@",SUBSTITUTE(A82,".","@",LEN(A82)-LEN(SUBSTITUTE(A82,".",""))),1))-1)),LEFT(A82,(FIND("@",SUBSTITUTE(A82,".","@",LEN(A82)-LEN(SUBSTITUTE(A82,".",""))),1))-1)),$A$4:$I$86,COLUMN(I82),0))</f>
        <v>2</v>
      </c>
    </row>
    <row r="83" spans="1:9" ht="15" x14ac:dyDescent="0.3">
      <c r="A83" s="28">
        <v>37</v>
      </c>
      <c r="B83" s="2" t="s">
        <v>214</v>
      </c>
      <c r="C83" s="2" t="s">
        <v>93</v>
      </c>
      <c r="D83" s="2">
        <v>1</v>
      </c>
      <c r="E83" s="2" t="s">
        <v>93</v>
      </c>
      <c r="F83" s="2" t="s">
        <v>10</v>
      </c>
      <c r="G83" s="9" t="s">
        <v>11</v>
      </c>
      <c r="H83" s="10">
        <f>IF(ISNUMBER(A83),IF(INT(A83)=A83,D83*VLOOKUP($A$1,'TOP LEVEL'!$B$4:$D$64,3,0),(VLOOKUP(INT(A83),$A$4:$D$86,4,0)*D83)*VLOOKUP($A$1,'TOP LEVEL'!$B$4:$D$64,3,0)),"FIND MANUALLY")</f>
        <v>2</v>
      </c>
      <c r="I83">
        <f>IF((LEN(A83)-LEN(SUBSTITUTE(A83,".","")))=0,D83*VLOOKUP($A$1,'TOP LEVEL'!$B$4:$D$64,3,0),D83*VLOOKUP(IF((LEN(A83)-LEN(SUBSTITUTE(A83,".","")))&lt;=2,VALUE(LEFT(A83,(FIND("@",SUBSTITUTE(A83,".","@",LEN(A83)-LEN(SUBSTITUTE(A83,".",""))),1))-1)),LEFT(A83,(FIND("@",SUBSTITUTE(A83,".","@",LEN(A83)-LEN(SUBSTITUTE(A83,".",""))),1))-1)),$A$4:$I$86,COLUMN(I83),0))</f>
        <v>2</v>
      </c>
    </row>
    <row r="84" spans="1:9" ht="15" x14ac:dyDescent="0.3">
      <c r="A84" s="28">
        <v>38</v>
      </c>
      <c r="B84" s="2" t="s">
        <v>215</v>
      </c>
      <c r="C84" s="2" t="s">
        <v>216</v>
      </c>
      <c r="D84" s="2">
        <v>4</v>
      </c>
      <c r="E84" s="2" t="s">
        <v>85</v>
      </c>
      <c r="F84" s="2" t="s">
        <v>15</v>
      </c>
      <c r="G84" s="9"/>
      <c r="H84" s="10">
        <f>IF(ISNUMBER(A84),IF(INT(A84)=A84,D84*VLOOKUP($A$1,'TOP LEVEL'!$B$4:$D$64,3,0),(VLOOKUP(INT(A84),$A$4:$D$86,4,0)*D84)*VLOOKUP($A$1,'TOP LEVEL'!$B$4:$D$64,3,0)),"FIND MANUALLY")</f>
        <v>8</v>
      </c>
      <c r="I84">
        <f>IF((LEN(A84)-LEN(SUBSTITUTE(A84,".","")))=0,D84*VLOOKUP($A$1,'TOP LEVEL'!$B$4:$D$64,3,0),D84*VLOOKUP(IF((LEN(A84)-LEN(SUBSTITUTE(A84,".","")))&lt;=2,VALUE(LEFT(A84,(FIND("@",SUBSTITUTE(A84,".","@",LEN(A84)-LEN(SUBSTITUTE(A84,".",""))),1))-1)),LEFT(A84,(FIND("@",SUBSTITUTE(A84,".","@",LEN(A84)-LEN(SUBSTITUTE(A84,".",""))),1))-1)),$A$4:$I$86,COLUMN(I84),0))</f>
        <v>8</v>
      </c>
    </row>
    <row r="85" spans="1:9" ht="15" x14ac:dyDescent="0.3">
      <c r="A85" s="28">
        <v>39</v>
      </c>
      <c r="B85" s="2" t="s">
        <v>217</v>
      </c>
      <c r="C85" s="2" t="s">
        <v>218</v>
      </c>
      <c r="D85" s="2">
        <v>6</v>
      </c>
      <c r="E85" s="2" t="s">
        <v>85</v>
      </c>
      <c r="F85" s="2" t="s">
        <v>15</v>
      </c>
      <c r="G85" s="9"/>
      <c r="H85" s="10">
        <f>IF(ISNUMBER(A85),IF(INT(A85)=A85,D85*VLOOKUP($A$1,'TOP LEVEL'!$B$4:$D$64,3,0),(VLOOKUP(INT(A85),$A$4:$D$86,4,0)*D85)*VLOOKUP($A$1,'TOP LEVEL'!$B$4:$D$64,3,0)),"FIND MANUALLY")</f>
        <v>12</v>
      </c>
      <c r="I85">
        <f>IF((LEN(A85)-LEN(SUBSTITUTE(A85,".","")))=0,D85*VLOOKUP($A$1,'TOP LEVEL'!$B$4:$D$64,3,0),D85*VLOOKUP(IF((LEN(A85)-LEN(SUBSTITUTE(A85,".","")))&lt;=2,VALUE(LEFT(A85,(FIND("@",SUBSTITUTE(A85,".","@",LEN(A85)-LEN(SUBSTITUTE(A85,".",""))),1))-1)),LEFT(A85,(FIND("@",SUBSTITUTE(A85,".","@",LEN(A85)-LEN(SUBSTITUTE(A85,".",""))),1))-1)),$A$4:$I$86,COLUMN(I85),0))</f>
        <v>12</v>
      </c>
    </row>
    <row r="86" spans="1:9" ht="15" x14ac:dyDescent="0.3">
      <c r="A86" s="28">
        <v>40</v>
      </c>
      <c r="B86" s="2" t="s">
        <v>219</v>
      </c>
      <c r="C86" s="2" t="s">
        <v>197</v>
      </c>
      <c r="D86" s="2">
        <v>6</v>
      </c>
      <c r="E86" s="2" t="s">
        <v>93</v>
      </c>
      <c r="F86" s="2" t="s">
        <v>10</v>
      </c>
      <c r="G86" s="9" t="s">
        <v>11</v>
      </c>
      <c r="H86" s="10">
        <f>IF(ISNUMBER(A86),IF(INT(A86)=A86,D86*VLOOKUP($A$1,'TOP LEVEL'!$B$4:$D$64,3,0),(VLOOKUP(INT(A86),$A$4:$D$86,4,0)*D86)*VLOOKUP($A$1,'TOP LEVEL'!$B$4:$D$64,3,0)),"FIND MANUALLY")</f>
        <v>12</v>
      </c>
      <c r="I86">
        <f>IF((LEN(A86)-LEN(SUBSTITUTE(A86,".","")))=0,D86*VLOOKUP($A$1,'TOP LEVEL'!$B$4:$D$64,3,0),D86*VLOOKUP(IF((LEN(A86)-LEN(SUBSTITUTE(A86,".","")))&lt;=2,VALUE(LEFT(A86,(FIND("@",SUBSTITUTE(A86,".","@",LEN(A86)-LEN(SUBSTITUTE(A86,".",""))),1))-1)),LEFT(A86,(FIND("@",SUBSTITUTE(A86,".","@",LEN(A86)-LEN(SUBSTITUTE(A86,".",""))),1))-1)),$A$4:$I$86,COLUMN(I86),0))</f>
        <v>12</v>
      </c>
    </row>
  </sheetData>
  <autoFilter ref="A3:I86" xr:uid="{00000000-0001-0000-0100-000000000000}"/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30"/>
  <sheetViews>
    <sheetView zoomScaleNormal="100" workbookViewId="0">
      <selection activeCell="A4" sqref="A4"/>
    </sheetView>
  </sheetViews>
  <sheetFormatPr defaultRowHeight="14.4" x14ac:dyDescent="0.3"/>
  <cols>
    <col min="1" max="1" width="12.44140625" customWidth="1"/>
    <col min="2" max="2" width="20.6640625" customWidth="1"/>
    <col min="3" max="3" width="38" customWidth="1"/>
    <col min="4" max="4" width="9.77734375" customWidth="1"/>
    <col min="5" max="5" width="15.109375" customWidth="1"/>
    <col min="6" max="6" width="17.6640625" customWidth="1"/>
    <col min="7" max="7" width="18.88671875" customWidth="1"/>
    <col min="8" max="8" width="15.21875" style="8" customWidth="1"/>
    <col min="9" max="1017" width="8.5546875" customWidth="1"/>
  </cols>
  <sheetData>
    <row r="1" spans="1:9" ht="16.95" customHeight="1" x14ac:dyDescent="0.3">
      <c r="A1" s="32" t="s">
        <v>16</v>
      </c>
      <c r="B1" s="32"/>
      <c r="C1" s="32"/>
      <c r="D1" s="32"/>
      <c r="E1" s="32"/>
      <c r="F1" s="32"/>
      <c r="G1" s="32"/>
    </row>
    <row r="2" spans="1:9" ht="16.95" customHeight="1" x14ac:dyDescent="0.3">
      <c r="A2" s="32"/>
      <c r="B2" s="32"/>
      <c r="C2" s="32"/>
      <c r="D2" s="32"/>
      <c r="E2" s="32"/>
      <c r="F2" s="32"/>
      <c r="G2" s="32"/>
    </row>
    <row r="3" spans="1:9" ht="16.95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1" t="s">
        <v>7</v>
      </c>
      <c r="H3" s="12" t="s">
        <v>398</v>
      </c>
      <c r="I3" t="s">
        <v>398</v>
      </c>
    </row>
    <row r="4" spans="1:9" ht="16.95" customHeight="1" x14ac:dyDescent="0.3">
      <c r="A4" s="2">
        <v>1</v>
      </c>
      <c r="B4" s="2" t="s">
        <v>220</v>
      </c>
      <c r="C4" s="2" t="s">
        <v>141</v>
      </c>
      <c r="D4" s="2">
        <v>1</v>
      </c>
      <c r="E4" s="2" t="s">
        <v>90</v>
      </c>
      <c r="F4" s="2" t="s">
        <v>10</v>
      </c>
      <c r="G4" s="9" t="s">
        <v>11</v>
      </c>
      <c r="H4" s="10">
        <f>IF(ISNUMBER(A4),IF(INT(A4)=A4,D4*VLOOKUP($A$1,'TOP LEVEL'!$B$4:$D$64,3,0),(VLOOKUP(INT(A4),$A$4:$D$86,4,0)*D4)*VLOOKUP($A$1,'TOP LEVEL'!$B$4:$D$64,3,0)),"FIND MANUALLY")</f>
        <v>1000</v>
      </c>
      <c r="I4">
        <v>1000</v>
      </c>
    </row>
    <row r="5" spans="1:9" ht="16.95" customHeight="1" x14ac:dyDescent="0.3">
      <c r="A5" s="2">
        <v>2</v>
      </c>
      <c r="B5" s="2" t="s">
        <v>221</v>
      </c>
      <c r="C5" s="2" t="s">
        <v>141</v>
      </c>
      <c r="D5" s="2">
        <v>2</v>
      </c>
      <c r="E5" s="2" t="s">
        <v>90</v>
      </c>
      <c r="F5" s="2" t="s">
        <v>10</v>
      </c>
      <c r="G5" s="9" t="s">
        <v>11</v>
      </c>
      <c r="H5" s="10">
        <f>IF(ISNUMBER(A5),IF(INT(A5)=A5,D5*VLOOKUP($A$1,'TOP LEVEL'!$B$4:$D$64,3,0),(VLOOKUP(INT(A5),$A$4:$D$86,4,0)*D5)*VLOOKUP($A$1,'TOP LEVEL'!$B$4:$D$64,3,0)),"FIND MANUALLY")</f>
        <v>2000</v>
      </c>
      <c r="I5">
        <v>2000</v>
      </c>
    </row>
    <row r="6" spans="1:9" ht="16.95" customHeight="1" x14ac:dyDescent="0.3"/>
    <row r="7" spans="1:9" ht="16.95" customHeight="1" x14ac:dyDescent="0.3"/>
    <row r="8" spans="1:9" ht="16.95" customHeight="1" x14ac:dyDescent="0.3"/>
    <row r="9" spans="1:9" ht="16.95" customHeight="1" x14ac:dyDescent="0.3"/>
    <row r="10" spans="1:9" ht="16.95" customHeight="1" x14ac:dyDescent="0.3"/>
    <row r="11" spans="1:9" ht="16.95" customHeight="1" x14ac:dyDescent="0.3"/>
    <row r="12" spans="1:9" ht="16.95" customHeight="1" x14ac:dyDescent="0.3"/>
    <row r="13" spans="1:9" ht="16.95" customHeight="1" x14ac:dyDescent="0.3"/>
    <row r="14" spans="1:9" ht="16.95" customHeight="1" x14ac:dyDescent="0.3"/>
    <row r="15" spans="1:9" ht="16.95" customHeight="1" x14ac:dyDescent="0.3"/>
    <row r="16" spans="1:9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16.95" customHeight="1" x14ac:dyDescent="0.3"/>
    <row r="28" ht="16.95" customHeight="1" x14ac:dyDescent="0.3"/>
    <row r="29" ht="16.95" customHeight="1" x14ac:dyDescent="0.3"/>
    <row r="30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30"/>
  <sheetViews>
    <sheetView zoomScaleNormal="100" workbookViewId="0">
      <selection activeCell="I10" sqref="I10"/>
    </sheetView>
  </sheetViews>
  <sheetFormatPr defaultRowHeight="14.4" x14ac:dyDescent="0.3"/>
  <cols>
    <col min="1" max="1" width="12.44140625" customWidth="1"/>
    <col min="2" max="2" width="20.6640625" customWidth="1"/>
    <col min="3" max="3" width="38" customWidth="1"/>
    <col min="4" max="4" width="9.77734375" customWidth="1"/>
    <col min="5" max="5" width="15.109375" customWidth="1"/>
    <col min="6" max="6" width="17.6640625" customWidth="1"/>
    <col min="7" max="7" width="18.88671875" customWidth="1"/>
    <col min="8" max="8" width="15.21875" style="8" customWidth="1"/>
    <col min="9" max="1022" width="8.5546875" customWidth="1"/>
  </cols>
  <sheetData>
    <row r="1" spans="1:9" ht="16.95" customHeight="1" x14ac:dyDescent="0.3">
      <c r="A1" s="32" t="s">
        <v>27</v>
      </c>
      <c r="B1" s="32"/>
      <c r="C1" s="32"/>
      <c r="D1" s="32"/>
      <c r="E1" s="32"/>
      <c r="F1" s="32"/>
      <c r="G1" s="32"/>
    </row>
    <row r="2" spans="1:9" ht="16.95" customHeight="1" x14ac:dyDescent="0.3">
      <c r="A2" s="32"/>
      <c r="B2" s="32"/>
      <c r="C2" s="32"/>
      <c r="D2" s="32"/>
      <c r="E2" s="32"/>
      <c r="F2" s="32"/>
      <c r="G2" s="32"/>
    </row>
    <row r="3" spans="1:9" ht="16.95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1" t="s">
        <v>7</v>
      </c>
      <c r="H3" s="12" t="s">
        <v>398</v>
      </c>
      <c r="I3" t="s">
        <v>398</v>
      </c>
    </row>
    <row r="4" spans="1:9" ht="16.95" customHeight="1" x14ac:dyDescent="0.3">
      <c r="A4" s="2">
        <v>1</v>
      </c>
      <c r="B4" s="2" t="s">
        <v>222</v>
      </c>
      <c r="C4" s="2" t="s">
        <v>197</v>
      </c>
      <c r="D4" s="2">
        <v>1</v>
      </c>
      <c r="E4" s="2" t="s">
        <v>93</v>
      </c>
      <c r="F4" s="2" t="s">
        <v>10</v>
      </c>
      <c r="G4" s="9" t="s">
        <v>11</v>
      </c>
      <c r="H4" s="10">
        <f>IF(ISNUMBER(A4),IF(INT(A4)=A4,D4*VLOOKUP($A$1,'TOP LEVEL'!$B$4:$D$64,3,0),(VLOOKUP(INT(A4),$A$4:$D$86,4,0)*D4)*VLOOKUP($A$1,'TOP LEVEL'!$B$4:$D$64,3,0)),"FIND MANUALLY")</f>
        <v>1</v>
      </c>
      <c r="I4">
        <v>1</v>
      </c>
    </row>
    <row r="5" spans="1:9" ht="16.95" customHeight="1" x14ac:dyDescent="0.3">
      <c r="A5" s="2">
        <v>2</v>
      </c>
      <c r="B5" s="2" t="s">
        <v>223</v>
      </c>
      <c r="C5" s="2" t="s">
        <v>224</v>
      </c>
      <c r="D5" s="2">
        <v>2</v>
      </c>
      <c r="E5" s="2" t="s">
        <v>225</v>
      </c>
      <c r="F5" s="2" t="s">
        <v>10</v>
      </c>
      <c r="G5" s="9" t="s">
        <v>11</v>
      </c>
      <c r="H5" s="10">
        <f>IF(ISNUMBER(A5),IF(INT(A5)=A5,D5*VLOOKUP($A$1,'TOP LEVEL'!$B$4:$D$64,3,0),(VLOOKUP(INT(A5),$A$4:$D$86,4,0)*D5)*VLOOKUP($A$1,'TOP LEVEL'!$B$4:$D$64,3,0)),"FIND MANUALLY")</f>
        <v>2</v>
      </c>
      <c r="I5">
        <v>2</v>
      </c>
    </row>
    <row r="6" spans="1:9" ht="16.95" customHeight="1" x14ac:dyDescent="0.3">
      <c r="A6" s="2">
        <v>3</v>
      </c>
      <c r="B6" s="2" t="s">
        <v>226</v>
      </c>
      <c r="C6" s="2" t="s">
        <v>162</v>
      </c>
      <c r="D6" s="2">
        <v>4</v>
      </c>
      <c r="E6" s="2" t="s">
        <v>90</v>
      </c>
      <c r="F6" s="2" t="s">
        <v>10</v>
      </c>
      <c r="G6" s="9" t="s">
        <v>11</v>
      </c>
      <c r="H6" s="10">
        <f>IF(ISNUMBER(A6),IF(INT(A6)=A6,D6*VLOOKUP($A$1,'TOP LEVEL'!$B$4:$D$64,3,0),(VLOOKUP(INT(A6),$A$4:$D$86,4,0)*D6)*VLOOKUP($A$1,'TOP LEVEL'!$B$4:$D$64,3,0)),"FIND MANUALLY")</f>
        <v>4</v>
      </c>
      <c r="I6">
        <v>4</v>
      </c>
    </row>
    <row r="7" spans="1:9" ht="16.95" customHeight="1" x14ac:dyDescent="0.3"/>
    <row r="8" spans="1:9" ht="16.95" customHeight="1" x14ac:dyDescent="0.3"/>
    <row r="9" spans="1:9" ht="16.95" customHeight="1" x14ac:dyDescent="0.3"/>
    <row r="10" spans="1:9" ht="16.95" customHeight="1" x14ac:dyDescent="0.3"/>
    <row r="11" spans="1:9" ht="16.95" customHeight="1" x14ac:dyDescent="0.3"/>
    <row r="12" spans="1:9" ht="16.95" customHeight="1" x14ac:dyDescent="0.3"/>
    <row r="13" spans="1:9" ht="16.95" customHeight="1" x14ac:dyDescent="0.3"/>
    <row r="14" spans="1:9" ht="16.95" customHeight="1" x14ac:dyDescent="0.3"/>
    <row r="15" spans="1:9" ht="16.95" customHeight="1" x14ac:dyDescent="0.3"/>
    <row r="16" spans="1:9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16.95" customHeight="1" x14ac:dyDescent="0.3"/>
    <row r="28" ht="16.95" customHeight="1" x14ac:dyDescent="0.3"/>
    <row r="29" ht="16.95" customHeight="1" x14ac:dyDescent="0.3"/>
    <row r="30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30"/>
  <sheetViews>
    <sheetView zoomScaleNormal="100" workbookViewId="0">
      <selection activeCell="D13" sqref="D13"/>
    </sheetView>
  </sheetViews>
  <sheetFormatPr defaultRowHeight="14.4" x14ac:dyDescent="0.3"/>
  <cols>
    <col min="1" max="1" width="12.44140625" customWidth="1"/>
    <col min="2" max="2" width="20.6640625" customWidth="1"/>
    <col min="3" max="3" width="38" customWidth="1"/>
    <col min="4" max="4" width="9.77734375" customWidth="1"/>
    <col min="5" max="5" width="15.109375" customWidth="1"/>
    <col min="6" max="6" width="17.6640625" customWidth="1"/>
    <col min="7" max="7" width="18.88671875" customWidth="1"/>
    <col min="8" max="8" width="15.21875" style="8" customWidth="1"/>
    <col min="9" max="1023" width="8.5546875" customWidth="1"/>
  </cols>
  <sheetData>
    <row r="1" spans="1:9" ht="16.95" customHeight="1" x14ac:dyDescent="0.3">
      <c r="A1" s="32" t="s">
        <v>29</v>
      </c>
      <c r="B1" s="32"/>
      <c r="C1" s="32"/>
      <c r="D1" s="32"/>
      <c r="E1" s="32"/>
      <c r="F1" s="32"/>
      <c r="G1" s="32"/>
    </row>
    <row r="2" spans="1:9" ht="16.95" customHeight="1" x14ac:dyDescent="0.3">
      <c r="A2" s="32"/>
      <c r="B2" s="32"/>
      <c r="C2" s="32"/>
      <c r="D2" s="32"/>
      <c r="E2" s="32"/>
      <c r="F2" s="32"/>
      <c r="G2" s="32"/>
    </row>
    <row r="3" spans="1:9" ht="16.95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1" t="s">
        <v>7</v>
      </c>
      <c r="H3" s="12" t="s">
        <v>398</v>
      </c>
      <c r="I3" t="s">
        <v>398</v>
      </c>
    </row>
    <row r="4" spans="1:9" ht="16.95" customHeight="1" x14ac:dyDescent="0.3">
      <c r="A4" s="2">
        <v>1</v>
      </c>
      <c r="B4" s="2" t="s">
        <v>227</v>
      </c>
      <c r="C4" s="2" t="s">
        <v>21</v>
      </c>
      <c r="D4" s="2">
        <v>1</v>
      </c>
      <c r="E4" s="2" t="s">
        <v>228</v>
      </c>
      <c r="F4" s="2" t="s">
        <v>10</v>
      </c>
      <c r="G4" s="9" t="s">
        <v>11</v>
      </c>
      <c r="H4" s="10">
        <f>IF(ISNUMBER(A4),IF(INT(A4)=A4,D4*VLOOKUP($A$1,'TOP LEVEL'!$B$4:$D$64,3,0),(VLOOKUP(INT(A4),$A$4:$D$86,4,0)*D4)*VLOOKUP($A$1,'TOP LEVEL'!$B$4:$D$64,3,0)),"FIND MANUALLY")</f>
        <v>4</v>
      </c>
      <c r="I4">
        <v>4</v>
      </c>
    </row>
    <row r="5" spans="1:9" ht="16.95" customHeight="1" x14ac:dyDescent="0.3">
      <c r="A5" s="2">
        <v>2</v>
      </c>
      <c r="B5" s="2" t="s">
        <v>229</v>
      </c>
      <c r="C5" s="2" t="s">
        <v>162</v>
      </c>
      <c r="D5" s="2">
        <v>1</v>
      </c>
      <c r="E5" s="2" t="s">
        <v>90</v>
      </c>
      <c r="F5" s="2" t="s">
        <v>10</v>
      </c>
      <c r="G5" s="9" t="s">
        <v>11</v>
      </c>
      <c r="H5" s="10">
        <f>IF(ISNUMBER(A5),IF(INT(A5)=A5,D5*VLOOKUP($A$1,'TOP LEVEL'!$B$4:$D$64,3,0),(VLOOKUP(INT(A5),$A$4:$D$86,4,0)*D5)*VLOOKUP($A$1,'TOP LEVEL'!$B$4:$D$64,3,0)),"FIND MANUALLY")</f>
        <v>4</v>
      </c>
      <c r="I5">
        <v>4</v>
      </c>
    </row>
    <row r="6" spans="1:9" ht="16.95" customHeight="1" x14ac:dyDescent="0.3"/>
    <row r="7" spans="1:9" ht="16.95" customHeight="1" x14ac:dyDescent="0.3"/>
    <row r="8" spans="1:9" ht="16.95" customHeight="1" x14ac:dyDescent="0.3"/>
    <row r="9" spans="1:9" ht="16.95" customHeight="1" x14ac:dyDescent="0.3"/>
    <row r="10" spans="1:9" ht="16.95" customHeight="1" x14ac:dyDescent="0.3"/>
    <row r="11" spans="1:9" ht="16.95" customHeight="1" x14ac:dyDescent="0.3"/>
    <row r="12" spans="1:9" ht="16.95" customHeight="1" x14ac:dyDescent="0.3"/>
    <row r="13" spans="1:9" ht="16.95" customHeight="1" x14ac:dyDescent="0.3"/>
    <row r="14" spans="1:9" ht="16.95" customHeight="1" x14ac:dyDescent="0.3"/>
    <row r="15" spans="1:9" ht="16.95" customHeight="1" x14ac:dyDescent="0.3"/>
    <row r="16" spans="1:9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16.95" customHeight="1" x14ac:dyDescent="0.3"/>
    <row r="28" ht="16.95" customHeight="1" x14ac:dyDescent="0.3"/>
    <row r="29" ht="16.95" customHeight="1" x14ac:dyDescent="0.3"/>
    <row r="30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21"/>
  <sheetViews>
    <sheetView zoomScaleNormal="100" workbookViewId="0">
      <selection activeCell="H4" sqref="H4"/>
    </sheetView>
  </sheetViews>
  <sheetFormatPr defaultRowHeight="14.4" x14ac:dyDescent="0.3"/>
  <cols>
    <col min="1" max="1" width="11.5546875" customWidth="1"/>
    <col min="2" max="2" width="23.109375" customWidth="1"/>
    <col min="3" max="3" width="20.21875" customWidth="1"/>
    <col min="4" max="4" width="9.33203125" customWidth="1"/>
    <col min="5" max="5" width="25.21875" customWidth="1"/>
    <col min="6" max="6" width="20.44140625" customWidth="1"/>
    <col min="7" max="7" width="16.33203125" customWidth="1"/>
    <col min="8" max="8" width="15.21875" style="8" customWidth="1"/>
    <col min="9" max="1024" width="8.5546875" customWidth="1"/>
  </cols>
  <sheetData>
    <row r="1" spans="1:9" x14ac:dyDescent="0.3">
      <c r="A1" s="32" t="s">
        <v>31</v>
      </c>
      <c r="B1" s="32"/>
      <c r="C1" s="32"/>
      <c r="D1" s="32"/>
      <c r="E1" s="32"/>
      <c r="F1" s="32"/>
      <c r="G1" s="32"/>
    </row>
    <row r="2" spans="1:9" x14ac:dyDescent="0.3">
      <c r="A2" s="32"/>
      <c r="B2" s="32"/>
      <c r="C2" s="32"/>
      <c r="D2" s="32"/>
      <c r="E2" s="32"/>
      <c r="F2" s="32"/>
      <c r="G2" s="32"/>
    </row>
    <row r="3" spans="1:9" ht="34.799999999999997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1" t="s">
        <v>7</v>
      </c>
      <c r="H3" s="12" t="s">
        <v>398</v>
      </c>
      <c r="I3" t="s">
        <v>398</v>
      </c>
    </row>
    <row r="4" spans="1:9" ht="15" x14ac:dyDescent="0.3">
      <c r="A4" s="2">
        <v>1</v>
      </c>
      <c r="B4" s="2" t="s">
        <v>230</v>
      </c>
      <c r="C4" s="2" t="s">
        <v>21</v>
      </c>
      <c r="D4" s="2">
        <v>1</v>
      </c>
      <c r="E4" s="2" t="s">
        <v>225</v>
      </c>
      <c r="F4" s="2" t="s">
        <v>10</v>
      </c>
      <c r="G4" s="9" t="s">
        <v>11</v>
      </c>
      <c r="H4" s="10">
        <f>IF(ISNUMBER(A4),IF(INT(A4)=A4,D4*VLOOKUP($A$1,'TOP LEVEL'!$B$4:$D$64,3,0),(VLOOKUP(INT(A4),$A$4:$D$86,4,0)*D4)*VLOOKUP($A$1,'TOP LEVEL'!$B$4:$D$64,3,0)),"FIND MANUALLY")</f>
        <v>1</v>
      </c>
      <c r="I4">
        <v>1</v>
      </c>
    </row>
    <row r="5" spans="1:9" ht="15" x14ac:dyDescent="0.3">
      <c r="A5" s="2">
        <v>2</v>
      </c>
      <c r="B5" s="2" t="s">
        <v>231</v>
      </c>
      <c r="C5" s="2"/>
      <c r="D5" s="2">
        <v>1</v>
      </c>
      <c r="E5" s="2" t="s">
        <v>85</v>
      </c>
      <c r="F5" s="2" t="s">
        <v>232</v>
      </c>
      <c r="G5" s="9"/>
      <c r="H5" s="10">
        <f>IF(ISNUMBER(A5),IF(INT(A5)=A5,D5*VLOOKUP($A$1,'TOP LEVEL'!$B$4:$D$64,3,0),(VLOOKUP(INT(A5),$A$4:$D$86,4,0)*D5)*VLOOKUP($A$1,'TOP LEVEL'!$B$4:$D$64,3,0)),"FIND MANUALLY")</f>
        <v>1</v>
      </c>
      <c r="I5">
        <v>1</v>
      </c>
    </row>
    <row r="6" spans="1:9" ht="15" x14ac:dyDescent="0.3">
      <c r="A6" s="2">
        <v>3</v>
      </c>
      <c r="B6" s="2" t="s">
        <v>233</v>
      </c>
      <c r="C6" s="2"/>
      <c r="D6" s="2">
        <v>1</v>
      </c>
      <c r="E6" s="2" t="s">
        <v>85</v>
      </c>
      <c r="F6" s="2" t="s">
        <v>232</v>
      </c>
      <c r="G6" s="9"/>
      <c r="H6" s="10">
        <f>IF(ISNUMBER(A6),IF(INT(A6)=A6,D6*VLOOKUP($A$1,'TOP LEVEL'!$B$4:$D$64,3,0),(VLOOKUP(INT(A6),$A$4:$D$86,4,0)*D6)*VLOOKUP($A$1,'TOP LEVEL'!$B$4:$D$64,3,0)),"FIND MANUALLY")</f>
        <v>1</v>
      </c>
      <c r="I6">
        <v>1</v>
      </c>
    </row>
    <row r="7" spans="1:9" ht="15" x14ac:dyDescent="0.3">
      <c r="A7" s="2">
        <v>4</v>
      </c>
      <c r="B7" s="2" t="s">
        <v>234</v>
      </c>
      <c r="C7" s="2"/>
      <c r="D7" s="2">
        <v>1</v>
      </c>
      <c r="E7" s="2" t="s">
        <v>85</v>
      </c>
      <c r="F7" s="2" t="s">
        <v>232</v>
      </c>
      <c r="G7" s="9"/>
      <c r="H7" s="10">
        <f>IF(ISNUMBER(A7),IF(INT(A7)=A7,D7*VLOOKUP($A$1,'TOP LEVEL'!$B$4:$D$64,3,0),(VLOOKUP(INT(A7),$A$4:$D$86,4,0)*D7)*VLOOKUP($A$1,'TOP LEVEL'!$B$4:$D$64,3,0)),"FIND MANUALLY")</f>
        <v>1</v>
      </c>
      <c r="I7">
        <v>1</v>
      </c>
    </row>
    <row r="8" spans="1:9" ht="15" x14ac:dyDescent="0.3">
      <c r="A8" s="2">
        <v>5</v>
      </c>
      <c r="B8" s="2" t="s">
        <v>235</v>
      </c>
      <c r="C8" s="2"/>
      <c r="D8" s="2">
        <v>1</v>
      </c>
      <c r="E8" s="2" t="s">
        <v>85</v>
      </c>
      <c r="F8" s="2" t="s">
        <v>232</v>
      </c>
      <c r="G8" s="9"/>
      <c r="H8" s="10">
        <f>IF(ISNUMBER(A8),IF(INT(A8)=A8,D8*VLOOKUP($A$1,'TOP LEVEL'!$B$4:$D$64,3,0),(VLOOKUP(INT(A8),$A$4:$D$86,4,0)*D8)*VLOOKUP($A$1,'TOP LEVEL'!$B$4:$D$64,3,0)),"FIND MANUALLY")</f>
        <v>1</v>
      </c>
      <c r="I8">
        <v>1</v>
      </c>
    </row>
    <row r="9" spans="1:9" ht="15" x14ac:dyDescent="0.3">
      <c r="A9" s="2">
        <v>6</v>
      </c>
      <c r="B9" s="2" t="s">
        <v>236</v>
      </c>
      <c r="C9" s="2"/>
      <c r="D9" s="2">
        <v>1</v>
      </c>
      <c r="E9" s="2" t="s">
        <v>85</v>
      </c>
      <c r="F9" s="2" t="s">
        <v>232</v>
      </c>
      <c r="G9" s="9"/>
      <c r="H9" s="10">
        <f>IF(ISNUMBER(A9),IF(INT(A9)=A9,D9*VLOOKUP($A$1,'TOP LEVEL'!$B$4:$D$64,3,0),(VLOOKUP(INT(A9),$A$4:$D$86,4,0)*D9)*VLOOKUP($A$1,'TOP LEVEL'!$B$4:$D$64,3,0)),"FIND MANUALLY")</f>
        <v>1</v>
      </c>
      <c r="I9">
        <v>1</v>
      </c>
    </row>
    <row r="10" spans="1:9" ht="15" x14ac:dyDescent="0.3">
      <c r="A10" s="2">
        <v>7</v>
      </c>
      <c r="B10" s="2" t="s">
        <v>237</v>
      </c>
      <c r="C10" s="2"/>
      <c r="D10" s="2">
        <v>1</v>
      </c>
      <c r="E10" s="2" t="s">
        <v>85</v>
      </c>
      <c r="F10" s="2" t="s">
        <v>232</v>
      </c>
      <c r="G10" s="9"/>
      <c r="H10" s="10">
        <f>IF(ISNUMBER(A10),IF(INT(A10)=A10,D10*VLOOKUP($A$1,'TOP LEVEL'!$B$4:$D$64,3,0),(VLOOKUP(INT(A10),$A$4:$D$86,4,0)*D10)*VLOOKUP($A$1,'TOP LEVEL'!$B$4:$D$64,3,0)),"FIND MANUALLY")</f>
        <v>1</v>
      </c>
      <c r="I10">
        <v>1</v>
      </c>
    </row>
    <row r="11" spans="1:9" ht="15" x14ac:dyDescent="0.3">
      <c r="A11" s="2">
        <v>8</v>
      </c>
      <c r="B11" s="2" t="s">
        <v>238</v>
      </c>
      <c r="C11" s="2"/>
      <c r="D11" s="2">
        <v>1</v>
      </c>
      <c r="E11" s="2" t="s">
        <v>85</v>
      </c>
      <c r="F11" s="2" t="s">
        <v>232</v>
      </c>
      <c r="G11" s="9"/>
      <c r="H11" s="10">
        <f>IF(ISNUMBER(A11),IF(INT(A11)=A11,D11*VLOOKUP($A$1,'TOP LEVEL'!$B$4:$D$64,3,0),(VLOOKUP(INT(A11),$A$4:$D$86,4,0)*D11)*VLOOKUP($A$1,'TOP LEVEL'!$B$4:$D$64,3,0)),"FIND MANUALLY")</f>
        <v>1</v>
      </c>
      <c r="I11">
        <v>1</v>
      </c>
    </row>
    <row r="12" spans="1:9" ht="15" x14ac:dyDescent="0.3">
      <c r="A12" s="2">
        <v>9</v>
      </c>
      <c r="B12" s="2" t="s">
        <v>239</v>
      </c>
      <c r="C12" s="2"/>
      <c r="D12" s="2">
        <v>1</v>
      </c>
      <c r="E12" s="2" t="s">
        <v>85</v>
      </c>
      <c r="F12" s="2" t="s">
        <v>232</v>
      </c>
      <c r="G12" s="9"/>
      <c r="H12" s="10">
        <f>IF(ISNUMBER(A12),IF(INT(A12)=A12,D12*VLOOKUP($A$1,'TOP LEVEL'!$B$4:$D$64,3,0),(VLOOKUP(INT(A12),$A$4:$D$86,4,0)*D12)*VLOOKUP($A$1,'TOP LEVEL'!$B$4:$D$64,3,0)),"FIND MANUALLY")</f>
        <v>1</v>
      </c>
      <c r="I12">
        <v>1</v>
      </c>
    </row>
    <row r="13" spans="1:9" ht="15" x14ac:dyDescent="0.3">
      <c r="A13" s="2">
        <v>10</v>
      </c>
      <c r="B13" s="2" t="s">
        <v>240</v>
      </c>
      <c r="C13" s="2"/>
      <c r="D13" s="2">
        <v>1</v>
      </c>
      <c r="E13" s="2" t="s">
        <v>85</v>
      </c>
      <c r="F13" s="2" t="s">
        <v>232</v>
      </c>
      <c r="G13" s="9"/>
      <c r="H13" s="10">
        <f>IF(ISNUMBER(A13),IF(INT(A13)=A13,D13*VLOOKUP($A$1,'TOP LEVEL'!$B$4:$D$64,3,0),(VLOOKUP(INT(A13),$A$4:$D$86,4,0)*D13)*VLOOKUP($A$1,'TOP LEVEL'!$B$4:$D$64,3,0)),"FIND MANUALLY")</f>
        <v>1</v>
      </c>
      <c r="I13">
        <v>1</v>
      </c>
    </row>
    <row r="14" spans="1:9" ht="15" x14ac:dyDescent="0.3">
      <c r="A14" s="2">
        <v>11</v>
      </c>
      <c r="B14" s="2" t="s">
        <v>241</v>
      </c>
      <c r="C14" s="2"/>
      <c r="D14" s="2">
        <v>1</v>
      </c>
      <c r="E14" s="2" t="s">
        <v>85</v>
      </c>
      <c r="F14" s="2" t="s">
        <v>232</v>
      </c>
      <c r="G14" s="9"/>
      <c r="H14" s="10">
        <f>IF(ISNUMBER(A14),IF(INT(A14)=A14,D14*VLOOKUP($A$1,'TOP LEVEL'!$B$4:$D$64,3,0),(VLOOKUP(INT(A14),$A$4:$D$86,4,0)*D14)*VLOOKUP($A$1,'TOP LEVEL'!$B$4:$D$64,3,0)),"FIND MANUALLY")</f>
        <v>1</v>
      </c>
      <c r="I14">
        <v>1</v>
      </c>
    </row>
    <row r="15" spans="1:9" ht="15" x14ac:dyDescent="0.3">
      <c r="A15" s="2">
        <v>12</v>
      </c>
      <c r="B15" s="2" t="s">
        <v>242</v>
      </c>
      <c r="C15" s="2"/>
      <c r="D15" s="2">
        <v>1</v>
      </c>
      <c r="E15" s="2" t="s">
        <v>85</v>
      </c>
      <c r="F15" s="2" t="s">
        <v>232</v>
      </c>
      <c r="G15" s="9"/>
      <c r="H15" s="10">
        <f>IF(ISNUMBER(A15),IF(INT(A15)=A15,D15*VLOOKUP($A$1,'TOP LEVEL'!$B$4:$D$64,3,0),(VLOOKUP(INT(A15),$A$4:$D$86,4,0)*D15)*VLOOKUP($A$1,'TOP LEVEL'!$B$4:$D$64,3,0)),"FIND MANUALLY")</f>
        <v>1</v>
      </c>
      <c r="I15">
        <v>1</v>
      </c>
    </row>
    <row r="16" spans="1:9" ht="15" x14ac:dyDescent="0.3">
      <c r="A16" s="2">
        <v>13</v>
      </c>
      <c r="B16" s="2" t="s">
        <v>243</v>
      </c>
      <c r="C16" s="2"/>
      <c r="D16" s="2">
        <v>1</v>
      </c>
      <c r="E16" s="2" t="s">
        <v>85</v>
      </c>
      <c r="F16" s="2" t="s">
        <v>232</v>
      </c>
      <c r="G16" s="9"/>
      <c r="H16" s="10">
        <f>IF(ISNUMBER(A16),IF(INT(A16)=A16,D16*VLOOKUP($A$1,'TOP LEVEL'!$B$4:$D$64,3,0),(VLOOKUP(INT(A16),$A$4:$D$86,4,0)*D16)*VLOOKUP($A$1,'TOP LEVEL'!$B$4:$D$64,3,0)),"FIND MANUALLY")</f>
        <v>1</v>
      </c>
      <c r="I16">
        <v>1</v>
      </c>
    </row>
    <row r="17" spans="1:9" ht="15" x14ac:dyDescent="0.3">
      <c r="A17" s="2">
        <v>14</v>
      </c>
      <c r="B17" s="2" t="s">
        <v>244</v>
      </c>
      <c r="C17" s="2"/>
      <c r="D17" s="2">
        <v>1</v>
      </c>
      <c r="E17" s="2" t="s">
        <v>85</v>
      </c>
      <c r="F17" s="2" t="s">
        <v>232</v>
      </c>
      <c r="G17" s="9"/>
      <c r="H17" s="10">
        <f>IF(ISNUMBER(A17),IF(INT(A17)=A17,D17*VLOOKUP($A$1,'TOP LEVEL'!$B$4:$D$64,3,0),(VLOOKUP(INT(A17),$A$4:$D$86,4,0)*D17)*VLOOKUP($A$1,'TOP LEVEL'!$B$4:$D$64,3,0)),"FIND MANUALLY")</f>
        <v>1</v>
      </c>
      <c r="I17">
        <v>1</v>
      </c>
    </row>
    <row r="18" spans="1:9" ht="15" x14ac:dyDescent="0.3">
      <c r="A18" s="2">
        <v>15</v>
      </c>
      <c r="B18" s="2" t="s">
        <v>245</v>
      </c>
      <c r="C18" s="2"/>
      <c r="D18" s="2">
        <v>1</v>
      </c>
      <c r="E18" s="2" t="s">
        <v>85</v>
      </c>
      <c r="F18" s="2" t="s">
        <v>232</v>
      </c>
      <c r="G18" s="9"/>
      <c r="H18" s="10">
        <f>IF(ISNUMBER(A18),IF(INT(A18)=A18,D18*VLOOKUP($A$1,'TOP LEVEL'!$B$4:$D$64,3,0),(VLOOKUP(INT(A18),$A$4:$D$86,4,0)*D18)*VLOOKUP($A$1,'TOP LEVEL'!$B$4:$D$64,3,0)),"FIND MANUALLY")</f>
        <v>1</v>
      </c>
      <c r="I18">
        <v>1</v>
      </c>
    </row>
    <row r="19" spans="1:9" ht="15" x14ac:dyDescent="0.3">
      <c r="A19" s="2">
        <v>16</v>
      </c>
      <c r="B19" s="2" t="s">
        <v>246</v>
      </c>
      <c r="C19" s="2"/>
      <c r="D19" s="2">
        <v>1</v>
      </c>
      <c r="E19" s="2" t="s">
        <v>85</v>
      </c>
      <c r="F19" s="2" t="s">
        <v>232</v>
      </c>
      <c r="G19" s="9"/>
      <c r="H19" s="10">
        <f>IF(ISNUMBER(A19),IF(INT(A19)=A19,D19*VLOOKUP($A$1,'TOP LEVEL'!$B$4:$D$64,3,0),(VLOOKUP(INT(A19),$A$4:$D$86,4,0)*D19)*VLOOKUP($A$1,'TOP LEVEL'!$B$4:$D$64,3,0)),"FIND MANUALLY")</f>
        <v>1</v>
      </c>
      <c r="I19">
        <v>1</v>
      </c>
    </row>
    <row r="20" spans="1:9" ht="15" x14ac:dyDescent="0.3">
      <c r="A20" s="2">
        <v>17</v>
      </c>
      <c r="B20" s="2" t="s">
        <v>247</v>
      </c>
      <c r="C20" s="2"/>
      <c r="D20" s="2">
        <v>1</v>
      </c>
      <c r="E20" s="2" t="s">
        <v>85</v>
      </c>
      <c r="F20" s="2" t="s">
        <v>232</v>
      </c>
      <c r="G20" s="9"/>
      <c r="H20" s="10">
        <f>IF(ISNUMBER(A20),IF(INT(A20)=A20,D20*VLOOKUP($A$1,'TOP LEVEL'!$B$4:$D$64,3,0),(VLOOKUP(INT(A20),$A$4:$D$86,4,0)*D20)*VLOOKUP($A$1,'TOP LEVEL'!$B$4:$D$64,3,0)),"FIND MANUALLY")</f>
        <v>1</v>
      </c>
      <c r="I20">
        <v>1</v>
      </c>
    </row>
    <row r="21" spans="1:9" ht="15" x14ac:dyDescent="0.3">
      <c r="A21" s="2">
        <v>18</v>
      </c>
      <c r="B21" s="2" t="s">
        <v>248</v>
      </c>
      <c r="C21" s="2" t="s">
        <v>249</v>
      </c>
      <c r="D21" s="2">
        <v>2</v>
      </c>
      <c r="E21" s="2" t="s">
        <v>85</v>
      </c>
      <c r="F21" s="2" t="s">
        <v>232</v>
      </c>
      <c r="G21" s="9"/>
      <c r="H21" s="10">
        <f>IF(ISNUMBER(A21),IF(INT(A21)=A21,D21*VLOOKUP($A$1,'TOP LEVEL'!$B$4:$D$64,3,0),(VLOOKUP(INT(A21),$A$4:$D$86,4,0)*D21)*VLOOKUP($A$1,'TOP LEVEL'!$B$4:$D$64,3,0)),"FIND MANUALLY")</f>
        <v>2</v>
      </c>
      <c r="I21">
        <v>2</v>
      </c>
    </row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29"/>
  <sheetViews>
    <sheetView zoomScaleNormal="100" workbookViewId="0">
      <selection activeCell="H4" sqref="H4"/>
    </sheetView>
  </sheetViews>
  <sheetFormatPr defaultRowHeight="14.4" x14ac:dyDescent="0.3"/>
  <cols>
    <col min="1" max="1" width="12.44140625" customWidth="1"/>
    <col min="2" max="2" width="20.6640625" customWidth="1"/>
    <col min="3" max="3" width="38" customWidth="1"/>
    <col min="4" max="4" width="9.77734375" customWidth="1"/>
    <col min="5" max="5" width="15.109375" customWidth="1"/>
    <col min="6" max="6" width="17.6640625" customWidth="1"/>
    <col min="7" max="7" width="18.88671875" customWidth="1"/>
    <col min="8" max="8" width="15.21875" style="8" customWidth="1"/>
    <col min="9" max="1025" width="8.5546875" customWidth="1"/>
  </cols>
  <sheetData>
    <row r="1" spans="1:9" ht="16.95" customHeight="1" x14ac:dyDescent="0.3">
      <c r="A1" s="32" t="s">
        <v>33</v>
      </c>
      <c r="B1" s="32"/>
      <c r="C1" s="32"/>
      <c r="D1" s="32"/>
      <c r="E1" s="32"/>
      <c r="F1" s="32"/>
      <c r="G1" s="32"/>
    </row>
    <row r="2" spans="1:9" ht="16.95" customHeight="1" x14ac:dyDescent="0.3">
      <c r="A2" s="32"/>
      <c r="B2" s="32"/>
      <c r="C2" s="32"/>
      <c r="D2" s="32"/>
      <c r="E2" s="32"/>
      <c r="F2" s="32"/>
      <c r="G2" s="32"/>
    </row>
    <row r="3" spans="1:9" ht="16.95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1" t="s">
        <v>7</v>
      </c>
      <c r="H3" s="12" t="s">
        <v>398</v>
      </c>
      <c r="I3" t="s">
        <v>398</v>
      </c>
    </row>
    <row r="4" spans="1:9" ht="16.95" customHeight="1" x14ac:dyDescent="0.3">
      <c r="A4" s="2">
        <v>1</v>
      </c>
      <c r="B4" s="2" t="s">
        <v>250</v>
      </c>
      <c r="C4" s="2" t="s">
        <v>251</v>
      </c>
      <c r="D4" s="2">
        <v>1</v>
      </c>
      <c r="E4" s="2" t="s">
        <v>90</v>
      </c>
      <c r="F4" s="2" t="s">
        <v>10</v>
      </c>
      <c r="G4" s="9" t="s">
        <v>11</v>
      </c>
      <c r="H4" s="10">
        <f>IF(ISNUMBER(A4),IF(INT(A4)=A4,D4*VLOOKUP($A$1,'TOP LEVEL'!$B$4:$D$64,3,0),(VLOOKUP(INT(A4),$A$4:$D$86,4,0)*D4)*VLOOKUP($A$1,'TOP LEVEL'!$B$4:$D$64,3,0)),"FIND MANUALLY")</f>
        <v>1</v>
      </c>
      <c r="I4">
        <v>1</v>
      </c>
    </row>
    <row r="5" spans="1:9" ht="16.95" customHeight="1" x14ac:dyDescent="0.3">
      <c r="A5" s="2">
        <v>2</v>
      </c>
      <c r="B5" s="2" t="s">
        <v>252</v>
      </c>
      <c r="C5" s="2"/>
      <c r="D5" s="2">
        <v>1</v>
      </c>
      <c r="E5" s="2" t="s">
        <v>228</v>
      </c>
      <c r="F5" s="2" t="s">
        <v>10</v>
      </c>
      <c r="G5" s="9" t="s">
        <v>11</v>
      </c>
      <c r="H5" s="10">
        <f>IF(ISNUMBER(A5),IF(INT(A5)=A5,D5*VLOOKUP($A$1,'TOP LEVEL'!$B$4:$D$64,3,0),(VLOOKUP(INT(A5),$A$4:$D$86,4,0)*D5)*VLOOKUP($A$1,'TOP LEVEL'!$B$4:$D$64,3,0)),"FIND MANUALLY")</f>
        <v>1</v>
      </c>
      <c r="I5">
        <v>1</v>
      </c>
    </row>
    <row r="6" spans="1:9" ht="15.6" customHeight="1" x14ac:dyDescent="0.3">
      <c r="A6" s="2">
        <v>3</v>
      </c>
      <c r="B6" s="2" t="s">
        <v>253</v>
      </c>
      <c r="C6" s="2"/>
      <c r="D6" s="2">
        <v>1</v>
      </c>
      <c r="E6" s="2" t="s">
        <v>85</v>
      </c>
      <c r="F6" s="2" t="s">
        <v>15</v>
      </c>
      <c r="G6" s="9"/>
      <c r="H6" s="10">
        <f>IF(ISNUMBER(A6),IF(INT(A6)=A6,D6*VLOOKUP($A$1,'TOP LEVEL'!$B$4:$D$64,3,0),(VLOOKUP(INT(A6),$A$4:$D$86,4,0)*D6)*VLOOKUP($A$1,'TOP LEVEL'!$B$4:$D$64,3,0)),"FIND MANUALLY")</f>
        <v>1</v>
      </c>
      <c r="I6">
        <v>1</v>
      </c>
    </row>
    <row r="7" spans="1:9" ht="16.95" customHeight="1" x14ac:dyDescent="0.3"/>
    <row r="8" spans="1:9" ht="16.95" customHeight="1" x14ac:dyDescent="0.3"/>
    <row r="9" spans="1:9" ht="16.95" customHeight="1" x14ac:dyDescent="0.3"/>
    <row r="10" spans="1:9" ht="16.95" customHeight="1" x14ac:dyDescent="0.3"/>
    <row r="11" spans="1:9" ht="16.95" customHeight="1" x14ac:dyDescent="0.3"/>
    <row r="12" spans="1:9" ht="16.95" customHeight="1" x14ac:dyDescent="0.3"/>
    <row r="13" spans="1:9" ht="16.95" customHeight="1" x14ac:dyDescent="0.3"/>
    <row r="14" spans="1:9" ht="16.95" customHeight="1" x14ac:dyDescent="0.3"/>
    <row r="15" spans="1:9" ht="16.95" customHeight="1" x14ac:dyDescent="0.3"/>
    <row r="16" spans="1:9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16.95" customHeight="1" x14ac:dyDescent="0.3"/>
    <row r="28" ht="16.95" customHeight="1" x14ac:dyDescent="0.3"/>
    <row r="29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0"/>
  <sheetViews>
    <sheetView zoomScaleNormal="100" workbookViewId="0">
      <selection activeCell="H4" sqref="H4"/>
    </sheetView>
  </sheetViews>
  <sheetFormatPr defaultRowHeight="14.4" x14ac:dyDescent="0.3"/>
  <cols>
    <col min="1" max="1" width="12.44140625" customWidth="1"/>
    <col min="2" max="2" width="20.6640625" customWidth="1"/>
    <col min="3" max="3" width="38" customWidth="1"/>
    <col min="4" max="4" width="9.77734375" customWidth="1"/>
    <col min="5" max="5" width="15.109375" customWidth="1"/>
    <col min="6" max="6" width="17.6640625" customWidth="1"/>
    <col min="7" max="7" width="18.88671875" customWidth="1"/>
    <col min="8" max="8" width="15.21875" style="8" customWidth="1"/>
    <col min="9" max="1025" width="8.5546875" customWidth="1"/>
  </cols>
  <sheetData>
    <row r="1" spans="1:9" ht="16.95" customHeight="1" x14ac:dyDescent="0.3">
      <c r="A1" s="32" t="s">
        <v>35</v>
      </c>
      <c r="B1" s="32"/>
      <c r="C1" s="32"/>
      <c r="D1" s="32"/>
      <c r="E1" s="32"/>
      <c r="F1" s="32"/>
      <c r="G1" s="32"/>
    </row>
    <row r="2" spans="1:9" ht="16.95" customHeight="1" x14ac:dyDescent="0.3">
      <c r="A2" s="32"/>
      <c r="B2" s="32"/>
      <c r="C2" s="32"/>
      <c r="D2" s="32"/>
      <c r="E2" s="32"/>
      <c r="F2" s="32"/>
      <c r="G2" s="32"/>
    </row>
    <row r="3" spans="1:9" ht="16.95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1" t="s">
        <v>7</v>
      </c>
      <c r="H3" s="12" t="s">
        <v>398</v>
      </c>
      <c r="I3" t="s">
        <v>398</v>
      </c>
    </row>
    <row r="4" spans="1:9" ht="16.95" customHeight="1" x14ac:dyDescent="0.3">
      <c r="A4" s="2">
        <v>1</v>
      </c>
      <c r="B4" s="2" t="s">
        <v>254</v>
      </c>
      <c r="C4" s="2" t="s">
        <v>251</v>
      </c>
      <c r="D4" s="2">
        <v>1</v>
      </c>
      <c r="E4" s="2" t="s">
        <v>90</v>
      </c>
      <c r="F4" s="2" t="s">
        <v>10</v>
      </c>
      <c r="G4" s="9" t="s">
        <v>11</v>
      </c>
      <c r="H4" s="10">
        <f>IF(ISNUMBER(A4),IF(INT(A4)=A4,D4*VLOOKUP($A$1,'TOP LEVEL'!$B$4:$D$64,3,0),(VLOOKUP(INT(A4),$A$4:$D$86,4,0)*D4)*VLOOKUP($A$1,'TOP LEVEL'!$B$4:$D$64,3,0)),"FIND MANUALLY")</f>
        <v>1</v>
      </c>
      <c r="I4">
        <v>1</v>
      </c>
    </row>
    <row r="5" spans="1:9" ht="16.95" customHeight="1" x14ac:dyDescent="0.3">
      <c r="A5" s="2">
        <v>2</v>
      </c>
      <c r="B5" s="2" t="s">
        <v>255</v>
      </c>
      <c r="C5" s="2" t="s">
        <v>256</v>
      </c>
      <c r="D5" s="2">
        <v>1</v>
      </c>
      <c r="E5" s="2" t="s">
        <v>228</v>
      </c>
      <c r="F5" s="2" t="s">
        <v>10</v>
      </c>
      <c r="G5" s="9" t="s">
        <v>11</v>
      </c>
      <c r="H5" s="10">
        <f>IF(ISNUMBER(A5),IF(INT(A5)=A5,D5*VLOOKUP($A$1,'TOP LEVEL'!$B$4:$D$64,3,0),(VLOOKUP(INT(A5),$A$4:$D$86,4,0)*D5)*VLOOKUP($A$1,'TOP LEVEL'!$B$4:$D$64,3,0)),"FIND MANUALLY")</f>
        <v>1</v>
      </c>
      <c r="I5">
        <v>1</v>
      </c>
    </row>
    <row r="6" spans="1:9" ht="45" x14ac:dyDescent="0.3">
      <c r="A6" s="2">
        <v>3</v>
      </c>
      <c r="B6" s="2" t="s">
        <v>253</v>
      </c>
      <c r="C6" s="2"/>
      <c r="D6" s="2">
        <v>1</v>
      </c>
      <c r="E6" s="2" t="s">
        <v>85</v>
      </c>
      <c r="F6" s="2" t="s">
        <v>232</v>
      </c>
      <c r="G6" s="9"/>
      <c r="H6" s="10">
        <f>IF(ISNUMBER(A6),IF(INT(A6)=A6,D6*VLOOKUP($A$1,'TOP LEVEL'!$B$4:$D$64,3,0),(VLOOKUP(INT(A6),$A$4:$D$86,4,0)*D6)*VLOOKUP($A$1,'TOP LEVEL'!$B$4:$D$64,3,0)),"FIND MANUALLY")</f>
        <v>1</v>
      </c>
      <c r="I6">
        <v>1</v>
      </c>
    </row>
    <row r="7" spans="1:9" ht="16.95" customHeight="1" x14ac:dyDescent="0.3"/>
    <row r="8" spans="1:9" ht="16.95" customHeight="1" x14ac:dyDescent="0.3"/>
    <row r="9" spans="1:9" ht="16.95" customHeight="1" x14ac:dyDescent="0.3"/>
    <row r="10" spans="1:9" ht="16.95" customHeight="1" x14ac:dyDescent="0.3"/>
    <row r="11" spans="1:9" ht="16.95" customHeight="1" x14ac:dyDescent="0.3"/>
    <row r="12" spans="1:9" ht="16.95" customHeight="1" x14ac:dyDescent="0.3"/>
    <row r="13" spans="1:9" ht="16.95" customHeight="1" x14ac:dyDescent="0.3"/>
    <row r="14" spans="1:9" ht="16.95" customHeight="1" x14ac:dyDescent="0.3"/>
    <row r="15" spans="1:9" ht="16.95" customHeight="1" x14ac:dyDescent="0.3"/>
    <row r="16" spans="1:9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16.95" customHeight="1" x14ac:dyDescent="0.3"/>
    <row r="28" ht="16.95" customHeight="1" x14ac:dyDescent="0.3"/>
    <row r="29" ht="16.95" customHeight="1" x14ac:dyDescent="0.3"/>
    <row r="30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30"/>
  <sheetViews>
    <sheetView zoomScaleNormal="100" workbookViewId="0">
      <selection activeCell="F14" sqref="F14"/>
    </sheetView>
  </sheetViews>
  <sheetFormatPr defaultRowHeight="14.4" x14ac:dyDescent="0.3"/>
  <cols>
    <col min="1" max="1" width="12.44140625" customWidth="1"/>
    <col min="2" max="2" width="20.6640625" customWidth="1"/>
    <col min="3" max="3" width="38" customWidth="1"/>
    <col min="4" max="4" width="9.77734375" customWidth="1"/>
    <col min="5" max="5" width="15.109375" customWidth="1"/>
    <col min="6" max="6" width="17.6640625" customWidth="1"/>
    <col min="7" max="7" width="18.88671875" customWidth="1"/>
    <col min="8" max="8" width="15.21875" style="8" customWidth="1"/>
    <col min="9" max="1025" width="8.5546875" customWidth="1"/>
  </cols>
  <sheetData>
    <row r="1" spans="1:9" ht="16.95" customHeight="1" x14ac:dyDescent="0.3">
      <c r="A1" s="32" t="s">
        <v>37</v>
      </c>
      <c r="B1" s="32"/>
      <c r="C1" s="32"/>
      <c r="D1" s="32"/>
      <c r="E1" s="32"/>
      <c r="F1" s="32"/>
      <c r="G1" s="32"/>
    </row>
    <row r="2" spans="1:9" ht="16.95" customHeight="1" x14ac:dyDescent="0.3">
      <c r="A2" s="32"/>
      <c r="B2" s="32"/>
      <c r="C2" s="32"/>
      <c r="D2" s="32"/>
      <c r="E2" s="32"/>
      <c r="F2" s="32"/>
      <c r="G2" s="32"/>
    </row>
    <row r="3" spans="1:9" ht="16.95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1" t="s">
        <v>7</v>
      </c>
      <c r="H3" s="12" t="s">
        <v>398</v>
      </c>
      <c r="I3" t="s">
        <v>398</v>
      </c>
    </row>
    <row r="4" spans="1:9" ht="16.95" customHeight="1" x14ac:dyDescent="0.3">
      <c r="A4" s="2">
        <v>1</v>
      </c>
      <c r="B4" s="2" t="s">
        <v>257</v>
      </c>
      <c r="C4" s="2" t="s">
        <v>162</v>
      </c>
      <c r="D4" s="2">
        <v>1</v>
      </c>
      <c r="E4" s="2" t="s">
        <v>90</v>
      </c>
      <c r="F4" s="2" t="s">
        <v>10</v>
      </c>
      <c r="G4" s="9" t="s">
        <v>11</v>
      </c>
      <c r="H4" s="10">
        <f>IF(ISNUMBER(A4),IF(INT(A4)=A4,D4*VLOOKUP($A$1,'TOP LEVEL'!$B$4:$D$64,3,0),(VLOOKUP(INT(A4),$A$4:$D$86,4,0)*D4)*VLOOKUP($A$1,'TOP LEVEL'!$B$4:$D$64,3,0)),"FIND MANUALLY")</f>
        <v>2</v>
      </c>
      <c r="I4">
        <v>2</v>
      </c>
    </row>
    <row r="5" spans="1:9" ht="16.95" customHeight="1" x14ac:dyDescent="0.3">
      <c r="A5" s="2">
        <v>2</v>
      </c>
      <c r="B5" s="2" t="s">
        <v>258</v>
      </c>
      <c r="C5" s="2" t="s">
        <v>162</v>
      </c>
      <c r="D5" s="2">
        <v>2</v>
      </c>
      <c r="E5" s="2" t="s">
        <v>90</v>
      </c>
      <c r="F5" s="2" t="s">
        <v>10</v>
      </c>
      <c r="G5" s="9" t="s">
        <v>11</v>
      </c>
      <c r="H5" s="10">
        <f>IF(ISNUMBER(A5),IF(INT(A5)=A5,D5*VLOOKUP($A$1,'TOP LEVEL'!$B$4:$D$64,3,0),(VLOOKUP(INT(A5),$A$4:$D$86,4,0)*D5)*VLOOKUP($A$1,'TOP LEVEL'!$B$4:$D$64,3,0)),"FIND MANUALLY")</f>
        <v>4</v>
      </c>
      <c r="I5">
        <v>4</v>
      </c>
    </row>
    <row r="6" spans="1:9" ht="16.95" customHeight="1" x14ac:dyDescent="0.3"/>
    <row r="7" spans="1:9" ht="16.95" customHeight="1" x14ac:dyDescent="0.3"/>
    <row r="8" spans="1:9" ht="16.95" customHeight="1" x14ac:dyDescent="0.3"/>
    <row r="9" spans="1:9" ht="16.95" customHeight="1" x14ac:dyDescent="0.3"/>
    <row r="10" spans="1:9" ht="16.95" customHeight="1" x14ac:dyDescent="0.3"/>
    <row r="11" spans="1:9" ht="16.95" customHeight="1" x14ac:dyDescent="0.3"/>
    <row r="12" spans="1:9" ht="16.95" customHeight="1" x14ac:dyDescent="0.3"/>
    <row r="13" spans="1:9" ht="16.95" customHeight="1" x14ac:dyDescent="0.3"/>
    <row r="14" spans="1:9" ht="16.95" customHeight="1" x14ac:dyDescent="0.3"/>
    <row r="15" spans="1:9" ht="16.95" customHeight="1" x14ac:dyDescent="0.3"/>
    <row r="16" spans="1:9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16.95" customHeight="1" x14ac:dyDescent="0.3"/>
    <row r="28" ht="16.95" customHeight="1" x14ac:dyDescent="0.3"/>
    <row r="29" ht="16.95" customHeight="1" x14ac:dyDescent="0.3"/>
    <row r="30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I29"/>
  <sheetViews>
    <sheetView zoomScaleNormal="100" workbookViewId="0">
      <selection activeCell="H4" sqref="H4:H9"/>
    </sheetView>
  </sheetViews>
  <sheetFormatPr defaultRowHeight="14.4" x14ac:dyDescent="0.3"/>
  <cols>
    <col min="1" max="1" width="12.44140625" customWidth="1"/>
    <col min="2" max="2" width="20.6640625" customWidth="1"/>
    <col min="3" max="3" width="38" customWidth="1"/>
    <col min="4" max="4" width="9.77734375" customWidth="1"/>
    <col min="5" max="5" width="15.109375" customWidth="1"/>
    <col min="6" max="6" width="17.6640625" customWidth="1"/>
    <col min="7" max="7" width="18.88671875" customWidth="1"/>
    <col min="8" max="8" width="15.21875" style="8" customWidth="1"/>
    <col min="9" max="1024" width="8.5546875" customWidth="1"/>
  </cols>
  <sheetData>
    <row r="1" spans="1:9" ht="16.95" customHeight="1" x14ac:dyDescent="0.3">
      <c r="A1" s="32" t="s">
        <v>39</v>
      </c>
      <c r="B1" s="32"/>
      <c r="C1" s="32"/>
      <c r="D1" s="32"/>
      <c r="E1" s="32"/>
      <c r="F1" s="32"/>
      <c r="G1" s="32"/>
    </row>
    <row r="2" spans="1:9" ht="16.95" customHeight="1" x14ac:dyDescent="0.3">
      <c r="A2" s="32"/>
      <c r="B2" s="32"/>
      <c r="C2" s="32"/>
      <c r="D2" s="32"/>
      <c r="E2" s="32"/>
      <c r="F2" s="32"/>
      <c r="G2" s="32"/>
    </row>
    <row r="3" spans="1:9" ht="16.95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1" t="s">
        <v>7</v>
      </c>
      <c r="H3" s="12" t="s">
        <v>398</v>
      </c>
      <c r="I3" t="s">
        <v>398</v>
      </c>
    </row>
    <row r="4" spans="1:9" ht="16.95" customHeight="1" x14ac:dyDescent="0.3">
      <c r="A4" s="2">
        <v>1</v>
      </c>
      <c r="B4" s="2" t="s">
        <v>259</v>
      </c>
      <c r="C4" s="2" t="s">
        <v>260</v>
      </c>
      <c r="D4" s="2">
        <v>1</v>
      </c>
      <c r="E4" s="2" t="s">
        <v>90</v>
      </c>
      <c r="F4" s="2" t="s">
        <v>10</v>
      </c>
      <c r="G4" s="9" t="s">
        <v>11</v>
      </c>
      <c r="H4" s="10">
        <f>IF(ISNUMBER(A4),IF(INT(A4)=A4,D4*VLOOKUP($A$1,'TOP LEVEL'!$B$4:$D$64,3,0),(VLOOKUP(INT(A4),$A$4:$D$86,4,0)*D4)*VLOOKUP($A$1,'TOP LEVEL'!$B$4:$D$64,3,0)),"FIND MANUALLY")</f>
        <v>1</v>
      </c>
      <c r="I4">
        <v>1</v>
      </c>
    </row>
    <row r="5" spans="1:9" ht="16.95" customHeight="1" x14ac:dyDescent="0.3">
      <c r="A5" s="2">
        <v>2</v>
      </c>
      <c r="B5" s="2" t="s">
        <v>261</v>
      </c>
      <c r="C5" s="2" t="s">
        <v>93</v>
      </c>
      <c r="D5" s="2">
        <v>2</v>
      </c>
      <c r="E5" s="2" t="s">
        <v>90</v>
      </c>
      <c r="F5" s="2" t="s">
        <v>10</v>
      </c>
      <c r="G5" s="9" t="s">
        <v>11</v>
      </c>
      <c r="H5" s="10">
        <f>IF(ISNUMBER(A5),IF(INT(A5)=A5,D5*VLOOKUP($A$1,'TOP LEVEL'!$B$4:$D$64,3,0),(VLOOKUP(INT(A5),$A$4:$D$86,4,0)*D5)*VLOOKUP($A$1,'TOP LEVEL'!$B$4:$D$64,3,0)),"FIND MANUALLY")</f>
        <v>2</v>
      </c>
      <c r="I5">
        <v>2</v>
      </c>
    </row>
    <row r="6" spans="1:9" ht="16.95" customHeight="1" x14ac:dyDescent="0.3">
      <c r="A6" s="2">
        <v>3</v>
      </c>
      <c r="B6" s="2" t="s">
        <v>262</v>
      </c>
      <c r="C6" s="2" t="s">
        <v>256</v>
      </c>
      <c r="D6" s="2">
        <v>1</v>
      </c>
      <c r="E6" s="2" t="s">
        <v>93</v>
      </c>
      <c r="F6" s="2" t="s">
        <v>10</v>
      </c>
      <c r="G6" s="9" t="s">
        <v>11</v>
      </c>
      <c r="H6" s="10">
        <f>IF(ISNUMBER(A6),IF(INT(A6)=A6,D6*VLOOKUP($A$1,'TOP LEVEL'!$B$4:$D$64,3,0),(VLOOKUP(INT(A6),$A$4:$D$86,4,0)*D6)*VLOOKUP($A$1,'TOP LEVEL'!$B$4:$D$64,3,0)),"FIND MANUALLY")</f>
        <v>1</v>
      </c>
      <c r="I6">
        <v>1</v>
      </c>
    </row>
    <row r="7" spans="1:9" ht="16.95" customHeight="1" x14ac:dyDescent="0.3">
      <c r="A7" s="2">
        <v>4</v>
      </c>
      <c r="B7" s="2" t="s">
        <v>263</v>
      </c>
      <c r="C7" s="2" t="s">
        <v>264</v>
      </c>
      <c r="D7" s="2">
        <v>2</v>
      </c>
      <c r="E7" s="2" t="s">
        <v>93</v>
      </c>
      <c r="F7" s="2" t="s">
        <v>10</v>
      </c>
      <c r="G7" s="9" t="s">
        <v>11</v>
      </c>
      <c r="H7" s="10">
        <f>IF(ISNUMBER(A7),IF(INT(A7)=A7,D7*VLOOKUP($A$1,'TOP LEVEL'!$B$4:$D$64,3,0),(VLOOKUP(INT(A7),$A$4:$D$86,4,0)*D7)*VLOOKUP($A$1,'TOP LEVEL'!$B$4:$D$64,3,0)),"FIND MANUALLY")</f>
        <v>2</v>
      </c>
      <c r="I7">
        <v>2</v>
      </c>
    </row>
    <row r="8" spans="1:9" ht="16.95" customHeight="1" x14ac:dyDescent="0.3">
      <c r="A8" s="2">
        <v>5</v>
      </c>
      <c r="B8" s="2" t="s">
        <v>172</v>
      </c>
      <c r="C8" s="2" t="s">
        <v>162</v>
      </c>
      <c r="D8" s="2">
        <v>2</v>
      </c>
      <c r="E8" s="2" t="s">
        <v>90</v>
      </c>
      <c r="F8" s="2" t="s">
        <v>10</v>
      </c>
      <c r="G8" s="9" t="s">
        <v>11</v>
      </c>
      <c r="H8" s="10">
        <f>IF(ISNUMBER(A8),IF(INT(A8)=A8,D8*VLOOKUP($A$1,'TOP LEVEL'!$B$4:$D$64,3,0),(VLOOKUP(INT(A8),$A$4:$D$86,4,0)*D8)*VLOOKUP($A$1,'TOP LEVEL'!$B$4:$D$64,3,0)),"FIND MANUALLY")</f>
        <v>2</v>
      </c>
      <c r="I8">
        <v>2</v>
      </c>
    </row>
    <row r="9" spans="1:9" ht="16.95" customHeight="1" x14ac:dyDescent="0.3">
      <c r="A9" s="2">
        <v>6</v>
      </c>
      <c r="B9" s="2" t="s">
        <v>265</v>
      </c>
      <c r="C9" s="2" t="s">
        <v>120</v>
      </c>
      <c r="D9" s="2">
        <v>1</v>
      </c>
      <c r="E9" s="2" t="s">
        <v>90</v>
      </c>
      <c r="F9" s="2" t="s">
        <v>10</v>
      </c>
      <c r="G9" s="9" t="s">
        <v>11</v>
      </c>
      <c r="H9" s="10">
        <f>IF(ISNUMBER(A9),IF(INT(A9)=A9,D9*VLOOKUP($A$1,'TOP LEVEL'!$B$4:$D$64,3,0),(VLOOKUP(INT(A9),$A$4:$D$86,4,0)*D9)*VLOOKUP($A$1,'TOP LEVEL'!$B$4:$D$64,3,0)),"FIND MANUALLY")</f>
        <v>1</v>
      </c>
      <c r="I9">
        <v>1</v>
      </c>
    </row>
    <row r="10" spans="1:9" ht="16.95" customHeight="1" x14ac:dyDescent="0.3"/>
    <row r="11" spans="1:9" ht="16.95" customHeight="1" x14ac:dyDescent="0.3"/>
    <row r="12" spans="1:9" ht="16.95" customHeight="1" x14ac:dyDescent="0.3"/>
    <row r="13" spans="1:9" ht="16.95" customHeight="1" x14ac:dyDescent="0.3"/>
    <row r="14" spans="1:9" ht="16.95" customHeight="1" x14ac:dyDescent="0.3"/>
    <row r="15" spans="1:9" ht="16.95" customHeight="1" x14ac:dyDescent="0.3"/>
    <row r="16" spans="1:9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16.95" customHeight="1" x14ac:dyDescent="0.3"/>
    <row r="28" ht="16.95" customHeight="1" x14ac:dyDescent="0.3"/>
    <row r="29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I27"/>
  <sheetViews>
    <sheetView zoomScaleNormal="100" workbookViewId="0">
      <selection activeCell="D24" sqref="D24"/>
    </sheetView>
  </sheetViews>
  <sheetFormatPr defaultRowHeight="14.4" x14ac:dyDescent="0.3"/>
  <cols>
    <col min="1" max="1" width="12.44140625" customWidth="1"/>
    <col min="2" max="2" width="20.6640625" customWidth="1"/>
    <col min="3" max="3" width="38" customWidth="1"/>
    <col min="4" max="4" width="9.77734375" customWidth="1"/>
    <col min="5" max="5" width="15.109375" customWidth="1"/>
    <col min="6" max="6" width="17.6640625" customWidth="1"/>
    <col min="7" max="7" width="18.88671875" customWidth="1"/>
    <col min="8" max="8" width="15.21875" style="8" customWidth="1"/>
    <col min="9" max="1023" width="8.5546875" customWidth="1"/>
  </cols>
  <sheetData>
    <row r="1" spans="1:9" ht="16.95" customHeight="1" x14ac:dyDescent="0.3">
      <c r="A1" s="32" t="s">
        <v>49</v>
      </c>
      <c r="B1" s="32"/>
      <c r="C1" s="32"/>
      <c r="D1" s="32"/>
      <c r="E1" s="32"/>
      <c r="F1" s="32"/>
      <c r="G1" s="32"/>
    </row>
    <row r="2" spans="1:9" ht="16.95" customHeight="1" x14ac:dyDescent="0.3">
      <c r="A2" s="32"/>
      <c r="B2" s="32"/>
      <c r="C2" s="32"/>
      <c r="D2" s="32"/>
      <c r="E2" s="32"/>
      <c r="F2" s="32"/>
      <c r="G2" s="32"/>
    </row>
    <row r="3" spans="1:9" ht="16.95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1" t="s">
        <v>7</v>
      </c>
      <c r="H3" s="12" t="s">
        <v>398</v>
      </c>
      <c r="I3" t="s">
        <v>398</v>
      </c>
    </row>
    <row r="4" spans="1:9" ht="16.95" customHeight="1" x14ac:dyDescent="0.3">
      <c r="A4" s="2">
        <v>1</v>
      </c>
      <c r="B4" s="2" t="s">
        <v>266</v>
      </c>
      <c r="C4" s="2" t="s">
        <v>267</v>
      </c>
      <c r="D4" s="2">
        <v>1</v>
      </c>
      <c r="E4" s="2" t="s">
        <v>90</v>
      </c>
      <c r="F4" s="2" t="s">
        <v>10</v>
      </c>
      <c r="G4" s="9" t="s">
        <v>11</v>
      </c>
      <c r="H4" s="10">
        <f>IF(ISNUMBER(A4),IF(INT(A4)=A4,D4*VLOOKUP($A$1,'TOP LEVEL'!$B$4:$D$64,3,0),(VLOOKUP(INT(A4),$A$4:$D$86,4,0)*D4)*VLOOKUP($A$1,'TOP LEVEL'!$B$4:$D$64,3,0)),"FIND MANUALLY")</f>
        <v>1</v>
      </c>
      <c r="I4">
        <v>1</v>
      </c>
    </row>
    <row r="5" spans="1:9" ht="16.95" customHeight="1" x14ac:dyDescent="0.3">
      <c r="A5" s="2">
        <v>2</v>
      </c>
      <c r="B5" s="2" t="s">
        <v>268</v>
      </c>
      <c r="C5" s="2" t="s">
        <v>162</v>
      </c>
      <c r="D5" s="2">
        <v>1</v>
      </c>
      <c r="E5" s="2" t="s">
        <v>228</v>
      </c>
      <c r="F5" s="2" t="s">
        <v>10</v>
      </c>
      <c r="G5" s="9" t="s">
        <v>11</v>
      </c>
      <c r="H5" s="10">
        <f>IF(ISNUMBER(A5),IF(INT(A5)=A5,D5*VLOOKUP($A$1,'TOP LEVEL'!$B$4:$D$64,3,0),(VLOOKUP(INT(A5),$A$4:$D$86,4,0)*D5)*VLOOKUP($A$1,'TOP LEVEL'!$B$4:$D$64,3,0)),"FIND MANUALLY")</f>
        <v>1</v>
      </c>
      <c r="I5">
        <v>1</v>
      </c>
    </row>
    <row r="6" spans="1:9" ht="16.95" customHeight="1" x14ac:dyDescent="0.3">
      <c r="A6" s="2">
        <v>3</v>
      </c>
      <c r="B6" s="2" t="s">
        <v>269</v>
      </c>
      <c r="C6" s="2" t="s">
        <v>162</v>
      </c>
      <c r="D6" s="2">
        <v>1</v>
      </c>
      <c r="E6" s="2" t="s">
        <v>90</v>
      </c>
      <c r="F6" s="2" t="s">
        <v>10</v>
      </c>
      <c r="G6" s="9" t="s">
        <v>11</v>
      </c>
      <c r="H6" s="10">
        <f>IF(ISNUMBER(A6),IF(INT(A6)=A6,D6*VLOOKUP($A$1,'TOP LEVEL'!$B$4:$D$64,3,0),(VLOOKUP(INT(A6),$A$4:$D$86,4,0)*D6)*VLOOKUP($A$1,'TOP LEVEL'!$B$4:$D$64,3,0)),"FIND MANUALLY")</f>
        <v>1</v>
      </c>
      <c r="I6">
        <v>1</v>
      </c>
    </row>
    <row r="7" spans="1:9" ht="16.95" customHeight="1" x14ac:dyDescent="0.3">
      <c r="A7" s="2">
        <v>4</v>
      </c>
      <c r="B7" s="2" t="s">
        <v>270</v>
      </c>
      <c r="C7" s="2" t="s">
        <v>271</v>
      </c>
      <c r="D7" s="2">
        <v>100</v>
      </c>
      <c r="E7" s="2" t="s">
        <v>82</v>
      </c>
      <c r="F7" s="2" t="s">
        <v>10</v>
      </c>
      <c r="G7" s="9" t="s">
        <v>11</v>
      </c>
      <c r="H7" s="10">
        <f>IF(ISNUMBER(A7),IF(INT(A7)=A7,D7*VLOOKUP($A$1,'TOP LEVEL'!$B$4:$D$64,3,0),(VLOOKUP(INT(A7),$A$4:$D$86,4,0)*D7)*VLOOKUP($A$1,'TOP LEVEL'!$B$4:$D$64,3,0)),"FIND MANUALLY")</f>
        <v>100</v>
      </c>
      <c r="I7">
        <v>100</v>
      </c>
    </row>
    <row r="8" spans="1:9" ht="16.95" customHeight="1" x14ac:dyDescent="0.3">
      <c r="A8" s="2">
        <v>4.0999999999999996</v>
      </c>
      <c r="B8" s="2" t="s">
        <v>272</v>
      </c>
      <c r="C8" s="2" t="s">
        <v>162</v>
      </c>
      <c r="D8" s="2">
        <v>1</v>
      </c>
      <c r="E8" s="2" t="s">
        <v>90</v>
      </c>
      <c r="F8" s="2" t="s">
        <v>10</v>
      </c>
      <c r="G8" s="9" t="s">
        <v>11</v>
      </c>
      <c r="H8" s="10">
        <f>IF(ISNUMBER(A8),IF(INT(A8)=A8,D8*VLOOKUP($A$1,'TOP LEVEL'!$B$4:$D$64,3,0),(VLOOKUP(INT(A8),$A$4:$D$86,4,0)*D8)*VLOOKUP($A$1,'TOP LEVEL'!$B$4:$D$64,3,0)),"FIND MANUALLY")</f>
        <v>100</v>
      </c>
      <c r="I8">
        <v>100</v>
      </c>
    </row>
    <row r="9" spans="1:9" ht="16.95" customHeight="1" x14ac:dyDescent="0.3">
      <c r="A9" s="2">
        <v>4.2</v>
      </c>
      <c r="B9" s="2" t="s">
        <v>273</v>
      </c>
      <c r="C9" s="2" t="s">
        <v>274</v>
      </c>
      <c r="D9" s="2">
        <v>1</v>
      </c>
      <c r="E9" s="2" t="s">
        <v>90</v>
      </c>
      <c r="F9" s="2" t="s">
        <v>10</v>
      </c>
      <c r="G9" s="9" t="s">
        <v>11</v>
      </c>
      <c r="H9" s="10">
        <f>IF(ISNUMBER(A9),IF(INT(A9)=A9,D9*VLOOKUP($A$1,'TOP LEVEL'!$B$4:$D$64,3,0),(VLOOKUP(INT(A9),$A$4:$D$86,4,0)*D9)*VLOOKUP($A$1,'TOP LEVEL'!$B$4:$D$64,3,0)),"FIND MANUALLY")</f>
        <v>100</v>
      </c>
      <c r="I9">
        <v>100</v>
      </c>
    </row>
    <row r="10" spans="1:9" ht="16.95" customHeight="1" x14ac:dyDescent="0.3">
      <c r="A10" s="2">
        <v>5</v>
      </c>
      <c r="B10" s="2" t="s">
        <v>275</v>
      </c>
      <c r="C10" s="2" t="s">
        <v>93</v>
      </c>
      <c r="D10" s="2">
        <v>1</v>
      </c>
      <c r="E10" s="2" t="s">
        <v>93</v>
      </c>
      <c r="F10" s="2" t="s">
        <v>10</v>
      </c>
      <c r="G10" s="9" t="s">
        <v>11</v>
      </c>
      <c r="H10" s="10">
        <f>IF(ISNUMBER(A10),IF(INT(A10)=A10,D10*VLOOKUP($A$1,'TOP LEVEL'!$B$4:$D$64,3,0),(VLOOKUP(INT(A10),$A$4:$D$86,4,0)*D10)*VLOOKUP($A$1,'TOP LEVEL'!$B$4:$D$64,3,0)),"FIND MANUALLY")</f>
        <v>1</v>
      </c>
      <c r="I10">
        <v>1</v>
      </c>
    </row>
    <row r="11" spans="1:9" ht="16.95" customHeight="1" x14ac:dyDescent="0.3">
      <c r="A11" s="2">
        <v>6</v>
      </c>
      <c r="B11" s="2" t="s">
        <v>276</v>
      </c>
      <c r="C11" s="2" t="s">
        <v>93</v>
      </c>
      <c r="D11" s="2">
        <v>1</v>
      </c>
      <c r="E11" s="2" t="s">
        <v>93</v>
      </c>
      <c r="F11" s="2" t="s">
        <v>10</v>
      </c>
      <c r="G11" s="9" t="s">
        <v>11</v>
      </c>
      <c r="H11" s="10">
        <f>IF(ISNUMBER(A11),IF(INT(A11)=A11,D11*VLOOKUP($A$1,'TOP LEVEL'!$B$4:$D$64,3,0),(VLOOKUP(INT(A11),$A$4:$D$86,4,0)*D11)*VLOOKUP($A$1,'TOP LEVEL'!$B$4:$D$64,3,0)),"FIND MANUALLY")</f>
        <v>1</v>
      </c>
      <c r="I11">
        <v>1</v>
      </c>
    </row>
    <row r="12" spans="1:9" ht="16.95" customHeight="1" x14ac:dyDescent="0.3">
      <c r="A12" s="2">
        <v>7</v>
      </c>
      <c r="B12" s="2" t="s">
        <v>277</v>
      </c>
      <c r="C12" s="2" t="s">
        <v>174</v>
      </c>
      <c r="D12" s="2">
        <v>1</v>
      </c>
      <c r="E12" s="2" t="s">
        <v>90</v>
      </c>
      <c r="F12" s="2" t="s">
        <v>10</v>
      </c>
      <c r="G12" s="9" t="s">
        <v>11</v>
      </c>
      <c r="H12" s="10">
        <f>IF(ISNUMBER(A12),IF(INT(A12)=A12,D12*VLOOKUP($A$1,'TOP LEVEL'!$B$4:$D$64,3,0),(VLOOKUP(INT(A12),$A$4:$D$86,4,0)*D12)*VLOOKUP($A$1,'TOP LEVEL'!$B$4:$D$64,3,0)),"FIND MANUALLY")</f>
        <v>1</v>
      </c>
      <c r="I12">
        <v>1</v>
      </c>
    </row>
    <row r="13" spans="1:9" ht="16.95" customHeight="1" x14ac:dyDescent="0.3">
      <c r="A13" s="2">
        <v>8</v>
      </c>
      <c r="B13" s="2" t="s">
        <v>278</v>
      </c>
      <c r="C13" s="2" t="s">
        <v>162</v>
      </c>
      <c r="D13" s="2">
        <v>1</v>
      </c>
      <c r="E13" s="2" t="s">
        <v>90</v>
      </c>
      <c r="F13" s="2" t="s">
        <v>10</v>
      </c>
      <c r="G13" s="9" t="s">
        <v>11</v>
      </c>
      <c r="H13" s="10">
        <f>IF(ISNUMBER(A13),IF(INT(A13)=A13,D13*VLOOKUP($A$1,'TOP LEVEL'!$B$4:$D$64,3,0),(VLOOKUP(INT(A13),$A$4:$D$86,4,0)*D13)*VLOOKUP($A$1,'TOP LEVEL'!$B$4:$D$64,3,0)),"FIND MANUALLY")</f>
        <v>1</v>
      </c>
      <c r="I13">
        <v>1</v>
      </c>
    </row>
    <row r="14" spans="1:9" ht="16.95" customHeight="1" x14ac:dyDescent="0.3">
      <c r="A14" s="2">
        <v>9</v>
      </c>
      <c r="B14" s="2" t="s">
        <v>279</v>
      </c>
      <c r="C14" s="2" t="s">
        <v>280</v>
      </c>
      <c r="D14" s="2">
        <v>1</v>
      </c>
      <c r="E14" s="2" t="s">
        <v>93</v>
      </c>
      <c r="F14" s="2" t="s">
        <v>10</v>
      </c>
      <c r="G14" s="9" t="s">
        <v>11</v>
      </c>
      <c r="H14" s="10">
        <f>IF(ISNUMBER(A14),IF(INT(A14)=A14,D14*VLOOKUP($A$1,'TOP LEVEL'!$B$4:$D$64,3,0),(VLOOKUP(INT(A14),$A$4:$D$86,4,0)*D14)*VLOOKUP($A$1,'TOP LEVEL'!$B$4:$D$64,3,0)),"FIND MANUALLY")</f>
        <v>1</v>
      </c>
      <c r="I14">
        <v>1</v>
      </c>
    </row>
    <row r="15" spans="1:9" ht="16.95" customHeight="1" x14ac:dyDescent="0.3">
      <c r="A15" s="2">
        <v>10</v>
      </c>
      <c r="B15" s="2" t="s">
        <v>281</v>
      </c>
      <c r="C15" s="2" t="s">
        <v>162</v>
      </c>
      <c r="D15" s="2">
        <v>4</v>
      </c>
      <c r="E15" s="2" t="s">
        <v>90</v>
      </c>
      <c r="F15" s="2" t="s">
        <v>10</v>
      </c>
      <c r="G15" s="9" t="s">
        <v>11</v>
      </c>
      <c r="H15" s="10">
        <f>IF(ISNUMBER(A15),IF(INT(A15)=A15,D15*VLOOKUP($A$1,'TOP LEVEL'!$B$4:$D$64,3,0),(VLOOKUP(INT(A15),$A$4:$D$86,4,0)*D15)*VLOOKUP($A$1,'TOP LEVEL'!$B$4:$D$64,3,0)),"FIND MANUALLY")</f>
        <v>4</v>
      </c>
      <c r="I15">
        <v>4</v>
      </c>
    </row>
    <row r="16" spans="1:9" ht="16.95" customHeight="1" x14ac:dyDescent="0.3">
      <c r="A16" s="2">
        <v>11</v>
      </c>
      <c r="B16" s="2" t="s">
        <v>282</v>
      </c>
      <c r="C16" s="2" t="s">
        <v>283</v>
      </c>
      <c r="D16" s="2">
        <v>1</v>
      </c>
      <c r="E16" s="2" t="s">
        <v>225</v>
      </c>
      <c r="F16" s="2" t="s">
        <v>10</v>
      </c>
      <c r="G16" s="9" t="s">
        <v>11</v>
      </c>
      <c r="H16" s="10">
        <f>IF(ISNUMBER(A16),IF(INT(A16)=A16,D16*VLOOKUP($A$1,'TOP LEVEL'!$B$4:$D$64,3,0),(VLOOKUP(INT(A16),$A$4:$D$86,4,0)*D16)*VLOOKUP($A$1,'TOP LEVEL'!$B$4:$D$64,3,0)),"FIND MANUALLY")</f>
        <v>1</v>
      </c>
      <c r="I16">
        <v>1</v>
      </c>
    </row>
    <row r="17" spans="1:9" ht="16.95" customHeight="1" x14ac:dyDescent="0.3">
      <c r="A17" s="2">
        <v>12</v>
      </c>
      <c r="B17" s="2" t="s">
        <v>284</v>
      </c>
      <c r="C17" s="2" t="s">
        <v>283</v>
      </c>
      <c r="D17" s="2">
        <v>1</v>
      </c>
      <c r="E17" s="2" t="s">
        <v>225</v>
      </c>
      <c r="F17" s="2" t="s">
        <v>10</v>
      </c>
      <c r="G17" s="9" t="s">
        <v>11</v>
      </c>
      <c r="H17" s="10">
        <f>IF(ISNUMBER(A17),IF(INT(A17)=A17,D17*VLOOKUP($A$1,'TOP LEVEL'!$B$4:$D$64,3,0),(VLOOKUP(INT(A17),$A$4:$D$86,4,0)*D17)*VLOOKUP($A$1,'TOP LEVEL'!$B$4:$D$64,3,0)),"FIND MANUALLY")</f>
        <v>1</v>
      </c>
      <c r="I17">
        <v>1</v>
      </c>
    </row>
    <row r="18" spans="1:9" ht="16.95" customHeight="1" x14ac:dyDescent="0.3">
      <c r="A18" s="2">
        <v>13</v>
      </c>
      <c r="B18" s="2" t="s">
        <v>285</v>
      </c>
      <c r="C18" s="2" t="s">
        <v>162</v>
      </c>
      <c r="D18" s="2">
        <v>1</v>
      </c>
      <c r="E18" s="2" t="s">
        <v>90</v>
      </c>
      <c r="F18" s="2" t="s">
        <v>10</v>
      </c>
      <c r="G18" s="9" t="s">
        <v>11</v>
      </c>
      <c r="H18" s="10">
        <f>IF(ISNUMBER(A18),IF(INT(A18)=A18,D18*VLOOKUP($A$1,'TOP LEVEL'!$B$4:$D$64,3,0),(VLOOKUP(INT(A18),$A$4:$D$86,4,0)*D18)*VLOOKUP($A$1,'TOP LEVEL'!$B$4:$D$64,3,0)),"FIND MANUALLY")</f>
        <v>1</v>
      </c>
      <c r="I18">
        <v>1</v>
      </c>
    </row>
    <row r="19" spans="1:9" ht="16.95" customHeight="1" x14ac:dyDescent="0.3">
      <c r="A19" s="2">
        <v>14</v>
      </c>
      <c r="B19" s="2" t="s">
        <v>286</v>
      </c>
      <c r="C19" s="2" t="s">
        <v>174</v>
      </c>
      <c r="D19" s="2">
        <v>2</v>
      </c>
      <c r="E19" s="2" t="s">
        <v>90</v>
      </c>
      <c r="F19" s="2" t="s">
        <v>10</v>
      </c>
      <c r="G19" s="9" t="s">
        <v>11</v>
      </c>
      <c r="H19" s="10">
        <f>IF(ISNUMBER(A19),IF(INT(A19)=A19,D19*VLOOKUP($A$1,'TOP LEVEL'!$B$4:$D$64,3,0),(VLOOKUP(INT(A19),$A$4:$D$86,4,0)*D19)*VLOOKUP($A$1,'TOP LEVEL'!$B$4:$D$64,3,0)),"FIND MANUALLY")</f>
        <v>2</v>
      </c>
      <c r="I19">
        <v>2</v>
      </c>
    </row>
    <row r="20" spans="1:9" ht="16.95" customHeight="1" x14ac:dyDescent="0.3">
      <c r="A20" s="2">
        <v>15</v>
      </c>
      <c r="B20" s="2" t="s">
        <v>287</v>
      </c>
      <c r="C20" s="2" t="s">
        <v>93</v>
      </c>
      <c r="D20" s="2">
        <v>2</v>
      </c>
      <c r="E20" s="2" t="s">
        <v>93</v>
      </c>
      <c r="F20" s="2" t="s">
        <v>10</v>
      </c>
      <c r="G20" s="9" t="s">
        <v>11</v>
      </c>
      <c r="H20" s="10">
        <f>IF(ISNUMBER(A20),IF(INT(A20)=A20,D20*VLOOKUP($A$1,'TOP LEVEL'!$B$4:$D$64,3,0),(VLOOKUP(INT(A20),$A$4:$D$86,4,0)*D20)*VLOOKUP($A$1,'TOP LEVEL'!$B$4:$D$64,3,0)),"FIND MANUALLY")</f>
        <v>2</v>
      </c>
      <c r="I20">
        <v>2</v>
      </c>
    </row>
    <row r="21" spans="1:9" ht="16.95" customHeight="1" x14ac:dyDescent="0.3">
      <c r="A21" s="2">
        <v>16</v>
      </c>
      <c r="B21" s="2" t="s">
        <v>288</v>
      </c>
      <c r="C21" s="2" t="s">
        <v>93</v>
      </c>
      <c r="D21" s="2">
        <v>4</v>
      </c>
      <c r="E21" s="2" t="s">
        <v>93</v>
      </c>
      <c r="F21" s="2" t="s">
        <v>10</v>
      </c>
      <c r="G21" s="9" t="s">
        <v>11</v>
      </c>
      <c r="H21" s="10">
        <f>IF(ISNUMBER(A21),IF(INT(A21)=A21,D21*VLOOKUP($A$1,'TOP LEVEL'!$B$4:$D$64,3,0),(VLOOKUP(INT(A21),$A$4:$D$86,4,0)*D21)*VLOOKUP($A$1,'TOP LEVEL'!$B$4:$D$64,3,0)),"FIND MANUALLY")</f>
        <v>4</v>
      </c>
      <c r="I21">
        <v>4</v>
      </c>
    </row>
    <row r="22" spans="1:9" ht="15" x14ac:dyDescent="0.3">
      <c r="A22" s="2">
        <v>17</v>
      </c>
      <c r="B22" s="2" t="s">
        <v>289</v>
      </c>
      <c r="C22" s="2"/>
      <c r="D22" s="2">
        <v>8</v>
      </c>
      <c r="E22" s="2" t="s">
        <v>85</v>
      </c>
      <c r="F22" s="2" t="s">
        <v>15</v>
      </c>
      <c r="G22" s="9"/>
      <c r="H22" s="10">
        <f>IF(ISNUMBER(A22),IF(INT(A22)=A22,D22*VLOOKUP($A$1,'TOP LEVEL'!$B$4:$D$64,3,0),(VLOOKUP(INT(A22),$A$4:$D$86,4,0)*D22)*VLOOKUP($A$1,'TOP LEVEL'!$B$4:$D$64,3,0)),"FIND MANUALLY")</f>
        <v>8</v>
      </c>
      <c r="I22">
        <v>8</v>
      </c>
    </row>
    <row r="23" spans="1:9" ht="15" x14ac:dyDescent="0.3">
      <c r="A23" s="2">
        <v>18</v>
      </c>
      <c r="B23" s="2" t="s">
        <v>290</v>
      </c>
      <c r="C23" s="2" t="s">
        <v>291</v>
      </c>
      <c r="D23" s="2">
        <v>32</v>
      </c>
      <c r="E23" s="2" t="s">
        <v>85</v>
      </c>
      <c r="F23" s="2" t="s">
        <v>15</v>
      </c>
      <c r="G23" s="9"/>
      <c r="H23" s="10">
        <f>IF(ISNUMBER(A23),IF(INT(A23)=A23,D23*VLOOKUP($A$1,'TOP LEVEL'!$B$4:$D$64,3,0),(VLOOKUP(INT(A23),$A$4:$D$86,4,0)*D23)*VLOOKUP($A$1,'TOP LEVEL'!$B$4:$D$64,3,0)),"FIND MANUALLY")</f>
        <v>32</v>
      </c>
      <c r="I23">
        <v>32</v>
      </c>
    </row>
    <row r="24" spans="1:9" ht="15" x14ac:dyDescent="0.3">
      <c r="A24" s="2">
        <v>19</v>
      </c>
      <c r="B24" s="2" t="s">
        <v>292</v>
      </c>
      <c r="C24" s="2" t="s">
        <v>212</v>
      </c>
      <c r="D24" s="2">
        <v>2</v>
      </c>
      <c r="E24" s="2" t="s">
        <v>90</v>
      </c>
      <c r="F24" s="2" t="s">
        <v>10</v>
      </c>
      <c r="G24" s="9" t="s">
        <v>11</v>
      </c>
      <c r="H24" s="10">
        <f>IF(ISNUMBER(A24),IF(INT(A24)=A24,D24*VLOOKUP($A$1,'TOP LEVEL'!$B$4:$D$64,3,0),(VLOOKUP(INT(A24),$A$4:$D$86,4,0)*D24)*VLOOKUP($A$1,'TOP LEVEL'!$B$4:$D$64,3,0)),"FIND MANUALLY")</f>
        <v>2</v>
      </c>
      <c r="I24">
        <v>2</v>
      </c>
    </row>
    <row r="25" spans="1:9" ht="30" x14ac:dyDescent="0.3">
      <c r="A25" s="2">
        <v>20</v>
      </c>
      <c r="B25" s="2" t="s">
        <v>293</v>
      </c>
      <c r="C25" s="2"/>
      <c r="D25" s="2">
        <v>2</v>
      </c>
      <c r="E25" s="2" t="s">
        <v>85</v>
      </c>
      <c r="F25" s="2" t="s">
        <v>15</v>
      </c>
      <c r="G25" s="9"/>
      <c r="H25" s="10">
        <f>IF(ISNUMBER(A25),IF(INT(A25)=A25,D25*VLOOKUP($A$1,'TOP LEVEL'!$B$4:$D$64,3,0),(VLOOKUP(INT(A25),$A$4:$D$86,4,0)*D25)*VLOOKUP($A$1,'TOP LEVEL'!$B$4:$D$64,3,0)),"FIND MANUALLY")</f>
        <v>2</v>
      </c>
      <c r="I25">
        <v>2</v>
      </c>
    </row>
    <row r="26" spans="1:9" ht="15" x14ac:dyDescent="0.3">
      <c r="A26" s="2">
        <v>21</v>
      </c>
      <c r="B26" s="2" t="s">
        <v>294</v>
      </c>
      <c r="C26" s="2"/>
      <c r="D26" s="2">
        <v>2</v>
      </c>
      <c r="E26" s="2" t="s">
        <v>90</v>
      </c>
      <c r="F26" s="2" t="s">
        <v>10</v>
      </c>
      <c r="G26" s="9" t="s">
        <v>11</v>
      </c>
      <c r="H26" s="10">
        <f>IF(ISNUMBER(A26),IF(INT(A26)=A26,D26*VLOOKUP($A$1,'TOP LEVEL'!$B$4:$D$64,3,0),(VLOOKUP(INT(A26),$A$4:$D$86,4,0)*D26)*VLOOKUP($A$1,'TOP LEVEL'!$B$4:$D$64,3,0)),"FIND MANUALLY")</f>
        <v>2</v>
      </c>
      <c r="I26">
        <v>2</v>
      </c>
    </row>
    <row r="27" spans="1:9" ht="15" x14ac:dyDescent="0.3">
      <c r="A27" s="2">
        <v>22</v>
      </c>
      <c r="B27" s="2" t="s">
        <v>295</v>
      </c>
      <c r="C27" s="2" t="s">
        <v>93</v>
      </c>
      <c r="D27" s="2">
        <v>2</v>
      </c>
      <c r="E27" s="2" t="s">
        <v>93</v>
      </c>
      <c r="F27" s="2" t="s">
        <v>10</v>
      </c>
      <c r="G27" s="9" t="s">
        <v>11</v>
      </c>
      <c r="H27" s="10">
        <f>IF(ISNUMBER(A27),IF(INT(A27)=A27,D27*VLOOKUP($A$1,'TOP LEVEL'!$B$4:$D$64,3,0),(VLOOKUP(INT(A27),$A$4:$D$86,4,0)*D27)*VLOOKUP($A$1,'TOP LEVEL'!$B$4:$D$64,3,0)),"FIND MANUALLY")</f>
        <v>2</v>
      </c>
      <c r="I27">
        <v>2</v>
      </c>
    </row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30"/>
  <sheetViews>
    <sheetView zoomScaleNormal="100" workbookViewId="0">
      <selection activeCell="I4" sqref="I4"/>
    </sheetView>
  </sheetViews>
  <sheetFormatPr defaultRowHeight="14.4" x14ac:dyDescent="0.3"/>
  <cols>
    <col min="1" max="1" width="12.44140625" customWidth="1"/>
    <col min="2" max="2" width="20.6640625" customWidth="1"/>
    <col min="3" max="3" width="38" customWidth="1"/>
    <col min="4" max="4" width="9.77734375" customWidth="1"/>
    <col min="5" max="5" width="15.109375" customWidth="1"/>
    <col min="6" max="6" width="17.6640625" customWidth="1"/>
    <col min="7" max="7" width="18.88671875" customWidth="1"/>
    <col min="8" max="8" width="15.21875" style="8" customWidth="1"/>
    <col min="9" max="1020" width="8.5546875" customWidth="1"/>
  </cols>
  <sheetData>
    <row r="1" spans="1:9" ht="16.95" customHeight="1" x14ac:dyDescent="0.3">
      <c r="A1" s="32" t="s">
        <v>53</v>
      </c>
      <c r="B1" s="32"/>
      <c r="C1" s="32"/>
      <c r="D1" s="32"/>
      <c r="E1" s="32"/>
      <c r="F1" s="32"/>
      <c r="G1" s="32"/>
    </row>
    <row r="2" spans="1:9" ht="16.95" customHeight="1" x14ac:dyDescent="0.3">
      <c r="A2" s="32"/>
      <c r="B2" s="32"/>
      <c r="C2" s="32"/>
      <c r="D2" s="32"/>
      <c r="E2" s="32"/>
      <c r="F2" s="32"/>
      <c r="G2" s="32"/>
    </row>
    <row r="3" spans="1:9" ht="16.95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1" t="s">
        <v>7</v>
      </c>
      <c r="H3" s="12" t="s">
        <v>398</v>
      </c>
      <c r="I3" t="s">
        <v>398</v>
      </c>
    </row>
    <row r="4" spans="1:9" ht="16.95" customHeight="1" x14ac:dyDescent="0.3">
      <c r="A4" s="2">
        <v>1</v>
      </c>
      <c r="B4" s="2" t="s">
        <v>296</v>
      </c>
      <c r="C4" s="2" t="s">
        <v>267</v>
      </c>
      <c r="D4" s="2">
        <v>1</v>
      </c>
      <c r="E4" s="2" t="s">
        <v>90</v>
      </c>
      <c r="F4" s="2" t="s">
        <v>10</v>
      </c>
      <c r="G4" s="9" t="s">
        <v>11</v>
      </c>
      <c r="H4" s="10">
        <f>IF(ISNUMBER(A4),IF(INT(A4)=A4,D4*VLOOKUP($A$1,'TOP LEVEL'!$B$4:$D$64,3,0),(VLOOKUP(INT(A4),$A$4:$D$86,4,0)*D4)*VLOOKUP($A$1,'TOP LEVEL'!$B$4:$D$64,3,0)),"FIND MANUALLY")</f>
        <v>1</v>
      </c>
      <c r="I4">
        <v>1</v>
      </c>
    </row>
    <row r="5" spans="1:9" ht="16.95" customHeight="1" x14ac:dyDescent="0.3">
      <c r="A5" s="2">
        <v>2</v>
      </c>
      <c r="B5" s="2" t="s">
        <v>277</v>
      </c>
      <c r="C5" s="2" t="s">
        <v>174</v>
      </c>
      <c r="D5" s="2">
        <v>1</v>
      </c>
      <c r="E5" s="2" t="s">
        <v>90</v>
      </c>
      <c r="F5" s="2" t="s">
        <v>10</v>
      </c>
      <c r="G5" s="9" t="s">
        <v>11</v>
      </c>
      <c r="H5" s="10">
        <f>IF(ISNUMBER(A5),IF(INT(A5)=A5,D5*VLOOKUP($A$1,'TOP LEVEL'!$B$4:$D$64,3,0),(VLOOKUP(INT(A5),$A$4:$D$86,4,0)*D5)*VLOOKUP($A$1,'TOP LEVEL'!$B$4:$D$64,3,0)),"FIND MANUALLY")</f>
        <v>1</v>
      </c>
      <c r="I5">
        <v>1</v>
      </c>
    </row>
    <row r="6" spans="1:9" ht="16.95" customHeight="1" x14ac:dyDescent="0.3">
      <c r="A6" s="2">
        <v>3</v>
      </c>
      <c r="B6" s="2" t="s">
        <v>286</v>
      </c>
      <c r="C6" s="2" t="s">
        <v>174</v>
      </c>
      <c r="D6" s="2">
        <v>2</v>
      </c>
      <c r="E6" s="2" t="s">
        <v>90</v>
      </c>
      <c r="F6" s="2" t="s">
        <v>10</v>
      </c>
      <c r="G6" s="9" t="s">
        <v>11</v>
      </c>
      <c r="H6" s="10">
        <f>IF(ISNUMBER(A6),IF(INT(A6)=A6,D6*VLOOKUP($A$1,'TOP LEVEL'!$B$4:$D$64,3,0),(VLOOKUP(INT(A6),$A$4:$D$86,4,0)*D6)*VLOOKUP($A$1,'TOP LEVEL'!$B$4:$D$64,3,0)),"FIND MANUALLY")</f>
        <v>2</v>
      </c>
      <c r="I6">
        <v>2</v>
      </c>
    </row>
    <row r="7" spans="1:9" ht="16.95" customHeight="1" x14ac:dyDescent="0.3">
      <c r="A7" s="2">
        <v>4</v>
      </c>
      <c r="B7" s="2" t="s">
        <v>281</v>
      </c>
      <c r="C7" s="2" t="s">
        <v>162</v>
      </c>
      <c r="D7" s="2">
        <v>4</v>
      </c>
      <c r="E7" s="2" t="s">
        <v>90</v>
      </c>
      <c r="F7" s="2" t="s">
        <v>10</v>
      </c>
      <c r="G7" s="9" t="s">
        <v>11</v>
      </c>
      <c r="H7" s="10">
        <f>IF(ISNUMBER(A7),IF(INT(A7)=A7,D7*VLOOKUP($A$1,'TOP LEVEL'!$B$4:$D$64,3,0),(VLOOKUP(INT(A7),$A$4:$D$86,4,0)*D7)*VLOOKUP($A$1,'TOP LEVEL'!$B$4:$D$64,3,0)),"FIND MANUALLY")</f>
        <v>4</v>
      </c>
      <c r="I7">
        <v>4</v>
      </c>
    </row>
    <row r="8" spans="1:9" ht="16.95" customHeight="1" x14ac:dyDescent="0.3">
      <c r="A8" s="2">
        <v>5</v>
      </c>
      <c r="B8" s="2" t="s">
        <v>278</v>
      </c>
      <c r="C8" s="2" t="s">
        <v>162</v>
      </c>
      <c r="D8" s="2">
        <v>1</v>
      </c>
      <c r="E8" s="2" t="s">
        <v>90</v>
      </c>
      <c r="F8" s="2" t="s">
        <v>10</v>
      </c>
      <c r="G8" s="9" t="s">
        <v>11</v>
      </c>
      <c r="H8" s="10">
        <f>IF(ISNUMBER(A8),IF(INT(A8)=A8,D8*VLOOKUP($A$1,'TOP LEVEL'!$B$4:$D$64,3,0),(VLOOKUP(INT(A8),$A$4:$D$86,4,0)*D8)*VLOOKUP($A$1,'TOP LEVEL'!$B$4:$D$64,3,0)),"FIND MANUALLY")</f>
        <v>1</v>
      </c>
      <c r="I8">
        <v>1</v>
      </c>
    </row>
    <row r="9" spans="1:9" ht="16.95" customHeight="1" x14ac:dyDescent="0.3">
      <c r="A9" s="2">
        <v>6</v>
      </c>
      <c r="B9" s="2" t="s">
        <v>284</v>
      </c>
      <c r="C9" s="2" t="s">
        <v>283</v>
      </c>
      <c r="D9" s="2">
        <v>1</v>
      </c>
      <c r="E9" s="2" t="s">
        <v>225</v>
      </c>
      <c r="F9" s="2" t="s">
        <v>10</v>
      </c>
      <c r="G9" s="9" t="s">
        <v>11</v>
      </c>
      <c r="H9" s="10">
        <f>IF(ISNUMBER(A9),IF(INT(A9)=A9,D9*VLOOKUP($A$1,'TOP LEVEL'!$B$4:$D$64,3,0),(VLOOKUP(INT(A9),$A$4:$D$86,4,0)*D9)*VLOOKUP($A$1,'TOP LEVEL'!$B$4:$D$64,3,0)),"FIND MANUALLY")</f>
        <v>1</v>
      </c>
      <c r="I9">
        <v>1</v>
      </c>
    </row>
    <row r="10" spans="1:9" ht="16.95" customHeight="1" x14ac:dyDescent="0.3">
      <c r="A10" s="2">
        <v>7</v>
      </c>
      <c r="B10" s="2" t="s">
        <v>297</v>
      </c>
      <c r="C10" s="2" t="s">
        <v>162</v>
      </c>
      <c r="D10" s="2">
        <v>1</v>
      </c>
      <c r="E10" s="2" t="s">
        <v>228</v>
      </c>
      <c r="F10" s="2" t="s">
        <v>10</v>
      </c>
      <c r="G10" s="9" t="s">
        <v>11</v>
      </c>
      <c r="H10" s="10">
        <f>IF(ISNUMBER(A10),IF(INT(A10)=A10,D10*VLOOKUP($A$1,'TOP LEVEL'!$B$4:$D$64,3,0),(VLOOKUP(INT(A10),$A$4:$D$86,4,0)*D10)*VLOOKUP($A$1,'TOP LEVEL'!$B$4:$D$64,3,0)),"FIND MANUALLY")</f>
        <v>1</v>
      </c>
      <c r="I10">
        <v>1</v>
      </c>
    </row>
    <row r="11" spans="1:9" ht="16.95" customHeight="1" x14ac:dyDescent="0.3">
      <c r="A11" s="2">
        <v>8</v>
      </c>
      <c r="B11" s="2" t="s">
        <v>298</v>
      </c>
      <c r="C11" s="2" t="s">
        <v>280</v>
      </c>
      <c r="D11" s="2">
        <v>1</v>
      </c>
      <c r="E11" s="2" t="s">
        <v>93</v>
      </c>
      <c r="F11" s="2" t="s">
        <v>10</v>
      </c>
      <c r="G11" s="9" t="s">
        <v>11</v>
      </c>
      <c r="H11" s="10">
        <f>IF(ISNUMBER(A11),IF(INT(A11)=A11,D11*VLOOKUP($A$1,'TOP LEVEL'!$B$4:$D$64,3,0),(VLOOKUP(INT(A11),$A$4:$D$86,4,0)*D11)*VLOOKUP($A$1,'TOP LEVEL'!$B$4:$D$64,3,0)),"FIND MANUALLY")</f>
        <v>1</v>
      </c>
      <c r="I11">
        <v>1</v>
      </c>
    </row>
    <row r="12" spans="1:9" ht="16.95" customHeight="1" x14ac:dyDescent="0.3">
      <c r="A12" s="2">
        <v>9</v>
      </c>
      <c r="B12" s="2" t="s">
        <v>270</v>
      </c>
      <c r="C12" s="2" t="s">
        <v>271</v>
      </c>
      <c r="D12" s="2">
        <v>1</v>
      </c>
      <c r="E12" s="2" t="s">
        <v>82</v>
      </c>
      <c r="F12" s="2" t="s">
        <v>10</v>
      </c>
      <c r="G12" s="9" t="s">
        <v>11</v>
      </c>
      <c r="H12" s="10">
        <f>IF(ISNUMBER(A12),IF(INT(A12)=A12,D12*VLOOKUP($A$1,'TOP LEVEL'!$B$4:$D$64,3,0),(VLOOKUP(INT(A12),$A$4:$D$86,4,0)*D12)*VLOOKUP($A$1,'TOP LEVEL'!$B$4:$D$64,3,0)),"FIND MANUALLY")</f>
        <v>1</v>
      </c>
      <c r="I12">
        <v>1</v>
      </c>
    </row>
    <row r="13" spans="1:9" ht="16.95" customHeight="1" x14ac:dyDescent="0.3">
      <c r="A13" s="2">
        <v>9.1</v>
      </c>
      <c r="B13" s="2" t="s">
        <v>272</v>
      </c>
      <c r="C13" s="2" t="s">
        <v>162</v>
      </c>
      <c r="D13" s="2">
        <v>1</v>
      </c>
      <c r="E13" s="2" t="s">
        <v>90</v>
      </c>
      <c r="F13" s="2" t="s">
        <v>10</v>
      </c>
      <c r="G13" s="9" t="s">
        <v>11</v>
      </c>
      <c r="H13" s="10">
        <f>IF(ISNUMBER(A13),IF(INT(A13)=A13,D13*VLOOKUP($A$1,'TOP LEVEL'!$B$4:$D$64,3,0),(VLOOKUP(INT(A13),$A$4:$D$86,4,0)*D13)*VLOOKUP($A$1,'TOP LEVEL'!$B$4:$D$64,3,0)),"FIND MANUALLY")</f>
        <v>1</v>
      </c>
      <c r="I13">
        <v>1</v>
      </c>
    </row>
    <row r="14" spans="1:9" ht="16.95" customHeight="1" x14ac:dyDescent="0.3">
      <c r="A14" s="2">
        <v>9.1999999999999993</v>
      </c>
      <c r="B14" s="2" t="s">
        <v>273</v>
      </c>
      <c r="C14" s="2" t="s">
        <v>274</v>
      </c>
      <c r="D14" s="2">
        <v>1</v>
      </c>
      <c r="E14" s="2" t="s">
        <v>90</v>
      </c>
      <c r="F14" s="2" t="s">
        <v>10</v>
      </c>
      <c r="G14" s="9" t="s">
        <v>11</v>
      </c>
      <c r="H14" s="10">
        <f>IF(ISNUMBER(A14),IF(INT(A14)=A14,D14*VLOOKUP($A$1,'TOP LEVEL'!$B$4:$D$64,3,0),(VLOOKUP(INT(A14),$A$4:$D$86,4,0)*D14)*VLOOKUP($A$1,'TOP LEVEL'!$B$4:$D$64,3,0)),"FIND MANUALLY")</f>
        <v>1</v>
      </c>
      <c r="I14">
        <v>1</v>
      </c>
    </row>
    <row r="15" spans="1:9" ht="16.95" customHeight="1" x14ac:dyDescent="0.3">
      <c r="A15" s="2">
        <v>10</v>
      </c>
      <c r="B15" s="2" t="s">
        <v>299</v>
      </c>
      <c r="C15" s="2" t="s">
        <v>93</v>
      </c>
      <c r="D15" s="2">
        <v>1</v>
      </c>
      <c r="E15" s="2" t="s">
        <v>93</v>
      </c>
      <c r="F15" s="2" t="s">
        <v>10</v>
      </c>
      <c r="G15" s="9" t="s">
        <v>11</v>
      </c>
      <c r="H15" s="10">
        <f>IF(ISNUMBER(A15),IF(INT(A15)=A15,D15*VLOOKUP($A$1,'TOP LEVEL'!$B$4:$D$64,3,0),(VLOOKUP(INT(A15),$A$4:$D$86,4,0)*D15)*VLOOKUP($A$1,'TOP LEVEL'!$B$4:$D$64,3,0)),"FIND MANUALLY")</f>
        <v>1</v>
      </c>
      <c r="I15">
        <v>1</v>
      </c>
    </row>
    <row r="16" spans="1:9" ht="16.95" customHeight="1" x14ac:dyDescent="0.3">
      <c r="A16" s="2">
        <v>11</v>
      </c>
      <c r="B16" s="2" t="s">
        <v>300</v>
      </c>
      <c r="C16" s="2" t="s">
        <v>93</v>
      </c>
      <c r="D16" s="2">
        <v>1</v>
      </c>
      <c r="E16" s="2" t="s">
        <v>93</v>
      </c>
      <c r="F16" s="2" t="s">
        <v>10</v>
      </c>
      <c r="G16" s="9" t="s">
        <v>11</v>
      </c>
      <c r="H16" s="10">
        <f>IF(ISNUMBER(A16),IF(INT(A16)=A16,D16*VLOOKUP($A$1,'TOP LEVEL'!$B$4:$D$64,3,0),(VLOOKUP(INT(A16),$A$4:$D$86,4,0)*D16)*VLOOKUP($A$1,'TOP LEVEL'!$B$4:$D$64,3,0)),"FIND MANUALLY")</f>
        <v>1</v>
      </c>
      <c r="I16">
        <v>1</v>
      </c>
    </row>
    <row r="17" spans="1:9" ht="16.95" customHeight="1" x14ac:dyDescent="0.3">
      <c r="A17" s="2">
        <v>12</v>
      </c>
      <c r="B17" s="2" t="s">
        <v>269</v>
      </c>
      <c r="C17" s="2" t="s">
        <v>162</v>
      </c>
      <c r="D17" s="2">
        <v>1</v>
      </c>
      <c r="E17" s="2" t="s">
        <v>90</v>
      </c>
      <c r="F17" s="2" t="s">
        <v>10</v>
      </c>
      <c r="G17" s="9" t="s">
        <v>11</v>
      </c>
      <c r="H17" s="10">
        <f>IF(ISNUMBER(A17),IF(INT(A17)=A17,D17*VLOOKUP($A$1,'TOP LEVEL'!$B$4:$D$64,3,0),(VLOOKUP(INT(A17),$A$4:$D$86,4,0)*D17)*VLOOKUP($A$1,'TOP LEVEL'!$B$4:$D$64,3,0)),"FIND MANUALLY")</f>
        <v>1</v>
      </c>
      <c r="I17">
        <v>1</v>
      </c>
    </row>
    <row r="18" spans="1:9" ht="16.95" customHeight="1" x14ac:dyDescent="0.3">
      <c r="A18" s="2">
        <v>13</v>
      </c>
      <c r="B18" s="2" t="s">
        <v>285</v>
      </c>
      <c r="C18" s="2" t="s">
        <v>162</v>
      </c>
      <c r="D18" s="2">
        <v>1</v>
      </c>
      <c r="E18" s="2" t="s">
        <v>90</v>
      </c>
      <c r="F18" s="2" t="s">
        <v>10</v>
      </c>
      <c r="G18" s="9" t="s">
        <v>11</v>
      </c>
      <c r="H18" s="10">
        <f>IF(ISNUMBER(A18),IF(INT(A18)=A18,D18*VLOOKUP($A$1,'TOP LEVEL'!$B$4:$D$64,3,0),(VLOOKUP(INT(A18),$A$4:$D$86,4,0)*D18)*VLOOKUP($A$1,'TOP LEVEL'!$B$4:$D$64,3,0)),"FIND MANUALLY")</f>
        <v>1</v>
      </c>
      <c r="I18">
        <v>1</v>
      </c>
    </row>
    <row r="19" spans="1:9" ht="16.95" customHeight="1" x14ac:dyDescent="0.3">
      <c r="A19" s="2">
        <v>14</v>
      </c>
      <c r="B19" s="2" t="s">
        <v>301</v>
      </c>
      <c r="C19" s="2" t="s">
        <v>283</v>
      </c>
      <c r="D19" s="2">
        <v>2</v>
      </c>
      <c r="E19" s="2" t="s">
        <v>225</v>
      </c>
      <c r="F19" s="2" t="s">
        <v>10</v>
      </c>
      <c r="G19" s="9" t="s">
        <v>11</v>
      </c>
      <c r="H19" s="10">
        <f>IF(ISNUMBER(A19),IF(INT(A19)=A19,D19*VLOOKUP($A$1,'TOP LEVEL'!$B$4:$D$64,3,0),(VLOOKUP(INT(A19),$A$4:$D$86,4,0)*D19)*VLOOKUP($A$1,'TOP LEVEL'!$B$4:$D$64,3,0)),"FIND MANUALLY")</f>
        <v>2</v>
      </c>
      <c r="I19">
        <v>2</v>
      </c>
    </row>
    <row r="20" spans="1:9" ht="16.95" customHeight="1" x14ac:dyDescent="0.3">
      <c r="A20" s="2">
        <v>15</v>
      </c>
      <c r="B20" s="2" t="s">
        <v>302</v>
      </c>
      <c r="C20" s="2" t="s">
        <v>93</v>
      </c>
      <c r="D20" s="2">
        <v>2</v>
      </c>
      <c r="E20" s="2" t="s">
        <v>90</v>
      </c>
      <c r="F20" s="2" t="s">
        <v>10</v>
      </c>
      <c r="G20" s="9" t="s">
        <v>11</v>
      </c>
      <c r="H20" s="10">
        <f>IF(ISNUMBER(A20),IF(INT(A20)=A20,D20*VLOOKUP($A$1,'TOP LEVEL'!$B$4:$D$64,3,0),(VLOOKUP(INT(A20),$A$4:$D$86,4,0)*D20)*VLOOKUP($A$1,'TOP LEVEL'!$B$4:$D$64,3,0)),"FIND MANUALLY")</f>
        <v>2</v>
      </c>
      <c r="I20">
        <v>2</v>
      </c>
    </row>
    <row r="21" spans="1:9" ht="16.95" customHeight="1" x14ac:dyDescent="0.3">
      <c r="A21" s="2">
        <v>16</v>
      </c>
      <c r="B21" s="2" t="s">
        <v>303</v>
      </c>
      <c r="C21" s="2" t="s">
        <v>93</v>
      </c>
      <c r="D21" s="2">
        <v>2</v>
      </c>
      <c r="E21" s="2" t="s">
        <v>93</v>
      </c>
      <c r="F21" s="2" t="s">
        <v>10</v>
      </c>
      <c r="G21" s="9" t="s">
        <v>11</v>
      </c>
      <c r="H21" s="10">
        <f>IF(ISNUMBER(A21),IF(INT(A21)=A21,D21*VLOOKUP($A$1,'TOP LEVEL'!$B$4:$D$64,3,0),(VLOOKUP(INT(A21),$A$4:$D$86,4,0)*D21)*VLOOKUP($A$1,'TOP LEVEL'!$B$4:$D$64,3,0)),"FIND MANUALLY")</f>
        <v>2</v>
      </c>
      <c r="I21">
        <v>2</v>
      </c>
    </row>
    <row r="22" spans="1:9" ht="16.95" customHeight="1" x14ac:dyDescent="0.3">
      <c r="A22" s="2">
        <v>17</v>
      </c>
      <c r="B22" s="2" t="s">
        <v>304</v>
      </c>
      <c r="C22" s="2" t="s">
        <v>93</v>
      </c>
      <c r="D22" s="2">
        <v>3</v>
      </c>
      <c r="E22" s="2" t="s">
        <v>93</v>
      </c>
      <c r="F22" s="2" t="s">
        <v>10</v>
      </c>
      <c r="G22" s="9" t="s">
        <v>11</v>
      </c>
      <c r="H22" s="10">
        <f>IF(ISNUMBER(A22),IF(INT(A22)=A22,D22*VLOOKUP($A$1,'TOP LEVEL'!$B$4:$D$64,3,0),(VLOOKUP(INT(A22),$A$4:$D$86,4,0)*D22)*VLOOKUP($A$1,'TOP LEVEL'!$B$4:$D$64,3,0)),"FIND MANUALLY")</f>
        <v>3</v>
      </c>
      <c r="I22">
        <v>3</v>
      </c>
    </row>
    <row r="23" spans="1:9" ht="15" x14ac:dyDescent="0.3">
      <c r="A23" s="2">
        <v>18</v>
      </c>
      <c r="B23" s="2" t="s">
        <v>305</v>
      </c>
      <c r="C23" s="2" t="s">
        <v>93</v>
      </c>
      <c r="D23" s="2">
        <v>1</v>
      </c>
      <c r="E23" s="2" t="s">
        <v>93</v>
      </c>
      <c r="F23" s="2" t="s">
        <v>10</v>
      </c>
      <c r="G23" s="9" t="s">
        <v>11</v>
      </c>
      <c r="H23" s="10">
        <f>IF(ISNUMBER(A23),IF(INT(A23)=A23,D23*VLOOKUP($A$1,'TOP LEVEL'!$B$4:$D$64,3,0),(VLOOKUP(INT(A23),$A$4:$D$86,4,0)*D23)*VLOOKUP($A$1,'TOP LEVEL'!$B$4:$D$64,3,0)),"FIND MANUALLY")</f>
        <v>1</v>
      </c>
      <c r="I23">
        <v>1</v>
      </c>
    </row>
    <row r="24" spans="1:9" ht="15" x14ac:dyDescent="0.3">
      <c r="A24" s="2">
        <v>19</v>
      </c>
      <c r="B24" s="2" t="s">
        <v>289</v>
      </c>
      <c r="C24" s="2"/>
      <c r="D24" s="2">
        <v>8</v>
      </c>
      <c r="E24" s="2" t="s">
        <v>85</v>
      </c>
      <c r="F24" s="2" t="s">
        <v>15</v>
      </c>
      <c r="G24" s="9"/>
      <c r="H24" s="10">
        <f>IF(ISNUMBER(A24),IF(INT(A24)=A24,D24*VLOOKUP($A$1,'TOP LEVEL'!$B$4:$D$64,3,0),(VLOOKUP(INT(A24),$A$4:$D$86,4,0)*D24)*VLOOKUP($A$1,'TOP LEVEL'!$B$4:$D$64,3,0)),"FIND MANUALLY")</f>
        <v>8</v>
      </c>
      <c r="I24">
        <v>8</v>
      </c>
    </row>
    <row r="25" spans="1:9" ht="15" x14ac:dyDescent="0.3">
      <c r="A25" s="2">
        <v>20</v>
      </c>
      <c r="B25" s="2" t="s">
        <v>290</v>
      </c>
      <c r="C25" s="2" t="s">
        <v>291</v>
      </c>
      <c r="D25" s="2">
        <v>32</v>
      </c>
      <c r="E25" s="2" t="s">
        <v>85</v>
      </c>
      <c r="F25" s="2" t="s">
        <v>15</v>
      </c>
      <c r="G25" s="9"/>
      <c r="H25" s="10">
        <f>IF(ISNUMBER(A25),IF(INT(A25)=A25,D25*VLOOKUP($A$1,'TOP LEVEL'!$B$4:$D$64,3,0),(VLOOKUP(INT(A25),$A$4:$D$86,4,0)*D25)*VLOOKUP($A$1,'TOP LEVEL'!$B$4:$D$64,3,0)),"FIND MANUALLY")</f>
        <v>32</v>
      </c>
      <c r="I25">
        <v>32</v>
      </c>
    </row>
    <row r="26" spans="1:9" ht="15" x14ac:dyDescent="0.3">
      <c r="A26" s="2">
        <v>21</v>
      </c>
      <c r="B26" s="2" t="s">
        <v>292</v>
      </c>
      <c r="C26" s="2" t="s">
        <v>212</v>
      </c>
      <c r="D26" s="2">
        <v>2</v>
      </c>
      <c r="E26" s="2" t="s">
        <v>90</v>
      </c>
      <c r="F26" s="2" t="s">
        <v>10</v>
      </c>
      <c r="G26" s="9" t="s">
        <v>11</v>
      </c>
      <c r="H26" s="10">
        <f>IF(ISNUMBER(A26),IF(INT(A26)=A26,D26*VLOOKUP($A$1,'TOP LEVEL'!$B$4:$D$64,3,0),(VLOOKUP(INT(A26),$A$4:$D$86,4,0)*D26)*VLOOKUP($A$1,'TOP LEVEL'!$B$4:$D$64,3,0)),"FIND MANUALLY")</f>
        <v>2</v>
      </c>
      <c r="I26">
        <v>2</v>
      </c>
    </row>
    <row r="27" spans="1:9" ht="30" x14ac:dyDescent="0.3">
      <c r="A27" s="2">
        <v>22</v>
      </c>
      <c r="B27" s="2" t="s">
        <v>293</v>
      </c>
      <c r="C27" s="2"/>
      <c r="D27" s="2">
        <v>2</v>
      </c>
      <c r="E27" s="2" t="s">
        <v>85</v>
      </c>
      <c r="F27" s="2" t="s">
        <v>15</v>
      </c>
      <c r="G27" s="9"/>
      <c r="H27" s="10">
        <f>IF(ISNUMBER(A27),IF(INT(A27)=A27,D27*VLOOKUP($A$1,'TOP LEVEL'!$B$4:$D$64,3,0),(VLOOKUP(INT(A27),$A$4:$D$86,4,0)*D27)*VLOOKUP($A$1,'TOP LEVEL'!$B$4:$D$64,3,0)),"FIND MANUALLY")</f>
        <v>2</v>
      </c>
      <c r="I27">
        <v>2</v>
      </c>
    </row>
    <row r="28" spans="1:9" ht="15" x14ac:dyDescent="0.3">
      <c r="A28" s="2">
        <v>23</v>
      </c>
      <c r="B28" s="2" t="s">
        <v>294</v>
      </c>
      <c r="C28" s="2"/>
      <c r="D28" s="2">
        <v>2</v>
      </c>
      <c r="E28" s="2" t="s">
        <v>90</v>
      </c>
      <c r="F28" s="2" t="s">
        <v>10</v>
      </c>
      <c r="G28" s="9" t="s">
        <v>11</v>
      </c>
      <c r="H28" s="10">
        <f>IF(ISNUMBER(A28),IF(INT(A28)=A28,D28*VLOOKUP($A$1,'TOP LEVEL'!$B$4:$D$64,3,0),(VLOOKUP(INT(A28),$A$4:$D$86,4,0)*D28)*VLOOKUP($A$1,'TOP LEVEL'!$B$4:$D$64,3,0)),"FIND MANUALLY")</f>
        <v>2</v>
      </c>
      <c r="I28">
        <v>2</v>
      </c>
    </row>
    <row r="29" spans="1:9" ht="15" x14ac:dyDescent="0.3">
      <c r="A29" s="2">
        <v>24</v>
      </c>
      <c r="B29" s="2" t="s">
        <v>306</v>
      </c>
      <c r="C29" s="2" t="s">
        <v>93</v>
      </c>
      <c r="D29" s="2">
        <v>1</v>
      </c>
      <c r="E29" s="2" t="s">
        <v>93</v>
      </c>
      <c r="F29" s="2" t="s">
        <v>10</v>
      </c>
      <c r="G29" s="9" t="s">
        <v>11</v>
      </c>
      <c r="H29" s="10">
        <f>IF(ISNUMBER(A29),IF(INT(A29)=A29,D29*VLOOKUP($A$1,'TOP LEVEL'!$B$4:$D$64,3,0),(VLOOKUP(INT(A29),$A$4:$D$86,4,0)*D29)*VLOOKUP($A$1,'TOP LEVEL'!$B$4:$D$64,3,0)),"FIND MANUALLY")</f>
        <v>1</v>
      </c>
      <c r="I29">
        <v>1</v>
      </c>
    </row>
    <row r="30" spans="1:9" ht="15" x14ac:dyDescent="0.3">
      <c r="A30" s="2">
        <v>25</v>
      </c>
      <c r="B30" s="2" t="s">
        <v>295</v>
      </c>
      <c r="C30" s="2" t="s">
        <v>93</v>
      </c>
      <c r="D30" s="2">
        <v>2</v>
      </c>
      <c r="E30" s="2" t="s">
        <v>93</v>
      </c>
      <c r="F30" s="2" t="s">
        <v>10</v>
      </c>
      <c r="G30" s="9" t="s">
        <v>11</v>
      </c>
      <c r="H30" s="10">
        <f>IF(ISNUMBER(A30),IF(INT(A30)=A30,D30*VLOOKUP($A$1,'TOP LEVEL'!$B$4:$D$64,3,0),(VLOOKUP(INT(A30),$A$4:$D$86,4,0)*D30)*VLOOKUP($A$1,'TOP LEVEL'!$B$4:$D$64,3,0)),"FIND MANUALLY")</f>
        <v>2</v>
      </c>
      <c r="I30">
        <v>2</v>
      </c>
    </row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27"/>
  <sheetViews>
    <sheetView zoomScaleNormal="100" workbookViewId="0">
      <selection activeCell="H4" sqref="H4"/>
    </sheetView>
  </sheetViews>
  <sheetFormatPr defaultRowHeight="14.4" x14ac:dyDescent="0.3"/>
  <cols>
    <col min="1" max="1" width="12.44140625" customWidth="1"/>
    <col min="2" max="2" width="20.6640625" customWidth="1"/>
    <col min="3" max="3" width="38" customWidth="1"/>
    <col min="4" max="4" width="9.77734375" customWidth="1"/>
    <col min="5" max="5" width="15.109375" customWidth="1"/>
    <col min="6" max="6" width="17.6640625" customWidth="1"/>
    <col min="7" max="7" width="18.88671875" customWidth="1"/>
    <col min="8" max="8" width="15.21875" style="8" customWidth="1"/>
    <col min="9" max="1025" width="8.5546875" customWidth="1"/>
  </cols>
  <sheetData>
    <row r="1" spans="1:9" ht="16.95" customHeight="1" x14ac:dyDescent="0.3">
      <c r="A1" s="32" t="s">
        <v>57</v>
      </c>
      <c r="B1" s="32"/>
      <c r="C1" s="32"/>
      <c r="D1" s="32"/>
      <c r="E1" s="32"/>
      <c r="F1" s="32"/>
      <c r="G1" s="32"/>
    </row>
    <row r="2" spans="1:9" ht="16.95" customHeight="1" x14ac:dyDescent="0.3">
      <c r="A2" s="32"/>
      <c r="B2" s="32"/>
      <c r="C2" s="32"/>
      <c r="D2" s="32"/>
      <c r="E2" s="32"/>
      <c r="F2" s="32"/>
      <c r="G2" s="32"/>
    </row>
    <row r="3" spans="1:9" ht="16.95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1" t="s">
        <v>7</v>
      </c>
      <c r="H3" s="12" t="s">
        <v>398</v>
      </c>
      <c r="I3" t="s">
        <v>398</v>
      </c>
    </row>
    <row r="4" spans="1:9" ht="16.95" customHeight="1" x14ac:dyDescent="0.3">
      <c r="A4" s="2">
        <v>1</v>
      </c>
      <c r="B4" s="2" t="s">
        <v>307</v>
      </c>
      <c r="C4" s="2" t="s">
        <v>308</v>
      </c>
      <c r="D4" s="2">
        <v>1</v>
      </c>
      <c r="E4" s="2" t="s">
        <v>82</v>
      </c>
      <c r="F4" s="2" t="s">
        <v>10</v>
      </c>
      <c r="G4" s="9" t="s">
        <v>11</v>
      </c>
      <c r="H4" s="10">
        <f>IF(ISNUMBER(A4),IF(INT(A4)=A4,D4*VLOOKUP($A$1,'TOP LEVEL'!$B$4:$D$64,3,0),(VLOOKUP(INT(A4),$A$4:$D$86,4,0)*D4)*VLOOKUP($A$1,'TOP LEVEL'!$B$4:$D$64,3,0)),"FIND MANUALLY")</f>
        <v>1</v>
      </c>
      <c r="I4">
        <v>1</v>
      </c>
    </row>
    <row r="5" spans="1:9" ht="16.95" customHeight="1" x14ac:dyDescent="0.3">
      <c r="A5" s="2">
        <v>1.1000000000000001</v>
      </c>
      <c r="B5" s="2" t="s">
        <v>309</v>
      </c>
      <c r="C5" s="2" t="s">
        <v>93</v>
      </c>
      <c r="D5" s="2">
        <v>2</v>
      </c>
      <c r="E5" s="2" t="s">
        <v>93</v>
      </c>
      <c r="F5" s="2" t="s">
        <v>10</v>
      </c>
      <c r="G5" s="9" t="s">
        <v>11</v>
      </c>
      <c r="H5" s="10">
        <f>IF(ISNUMBER(A5),IF(INT(A5)=A5,D5*VLOOKUP($A$1,'TOP LEVEL'!$B$4:$D$64,3,0),(VLOOKUP(INT(A5),$A$4:$D$86,4,0)*D5)*VLOOKUP($A$1,'TOP LEVEL'!$B$4:$D$64,3,0)),"FIND MANUALLY")</f>
        <v>2</v>
      </c>
      <c r="I5">
        <v>2</v>
      </c>
    </row>
    <row r="6" spans="1:9" ht="16.95" customHeight="1" x14ac:dyDescent="0.3">
      <c r="A6" s="2">
        <v>1.2</v>
      </c>
      <c r="B6" s="2" t="s">
        <v>310</v>
      </c>
      <c r="C6" s="2" t="s">
        <v>93</v>
      </c>
      <c r="D6" s="2">
        <v>2</v>
      </c>
      <c r="E6" s="2" t="s">
        <v>93</v>
      </c>
      <c r="F6" s="2" t="s">
        <v>10</v>
      </c>
      <c r="G6" s="9" t="s">
        <v>11</v>
      </c>
      <c r="H6" s="10">
        <f>IF(ISNUMBER(A6),IF(INT(A6)=A6,D6*VLOOKUP($A$1,'TOP LEVEL'!$B$4:$D$64,3,0),(VLOOKUP(INT(A6),$A$4:$D$86,4,0)*D6)*VLOOKUP($A$1,'TOP LEVEL'!$B$4:$D$64,3,0)),"FIND MANUALLY")</f>
        <v>2</v>
      </c>
      <c r="I6">
        <v>2</v>
      </c>
    </row>
    <row r="7" spans="1:9" ht="16.95" customHeight="1" x14ac:dyDescent="0.3">
      <c r="A7" s="2">
        <v>2</v>
      </c>
      <c r="B7" s="2" t="s">
        <v>311</v>
      </c>
      <c r="C7" s="2" t="s">
        <v>312</v>
      </c>
      <c r="D7" s="2">
        <v>1</v>
      </c>
      <c r="E7" s="2" t="s">
        <v>225</v>
      </c>
      <c r="F7" s="2" t="s">
        <v>10</v>
      </c>
      <c r="G7" s="9" t="s">
        <v>11</v>
      </c>
      <c r="H7" s="10">
        <f>IF(ISNUMBER(A7),IF(INT(A7)=A7,D7*VLOOKUP($A$1,'TOP LEVEL'!$B$4:$D$64,3,0),(VLOOKUP(INT(A7),$A$4:$D$86,4,0)*D7)*VLOOKUP($A$1,'TOP LEVEL'!$B$4:$D$64,3,0)),"FIND MANUALLY")</f>
        <v>1</v>
      </c>
      <c r="I7">
        <v>1</v>
      </c>
    </row>
    <row r="8" spans="1:9" ht="16.95" customHeight="1" x14ac:dyDescent="0.3"/>
    <row r="9" spans="1:9" ht="16.95" customHeight="1" x14ac:dyDescent="0.3"/>
    <row r="10" spans="1:9" ht="16.95" customHeight="1" x14ac:dyDescent="0.3"/>
    <row r="11" spans="1:9" ht="16.95" customHeight="1" x14ac:dyDescent="0.3"/>
    <row r="12" spans="1:9" ht="16.95" customHeight="1" x14ac:dyDescent="0.3"/>
    <row r="13" spans="1:9" ht="16.95" customHeight="1" x14ac:dyDescent="0.3"/>
    <row r="14" spans="1:9" ht="16.95" customHeight="1" x14ac:dyDescent="0.3"/>
    <row r="15" spans="1:9" ht="16.95" customHeight="1" x14ac:dyDescent="0.3"/>
    <row r="16" spans="1:9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I32"/>
  <sheetViews>
    <sheetView zoomScaleNormal="100" workbookViewId="0">
      <selection activeCell="H4" sqref="H4"/>
    </sheetView>
  </sheetViews>
  <sheetFormatPr defaultRowHeight="14.4" x14ac:dyDescent="0.3"/>
  <cols>
    <col min="1" max="1" width="12.44140625" customWidth="1"/>
    <col min="2" max="2" width="20.6640625" customWidth="1"/>
    <col min="3" max="3" width="38" customWidth="1"/>
    <col min="4" max="4" width="9.77734375" customWidth="1"/>
    <col min="5" max="5" width="15.109375" customWidth="1"/>
    <col min="6" max="6" width="17.6640625" customWidth="1"/>
    <col min="7" max="7" width="18.88671875" customWidth="1"/>
    <col min="8" max="8" width="15.21875" style="8" customWidth="1"/>
    <col min="9" max="1025" width="8.5546875" customWidth="1"/>
  </cols>
  <sheetData>
    <row r="1" spans="1:9" ht="16.95" customHeight="1" x14ac:dyDescent="0.3">
      <c r="A1" s="32" t="s">
        <v>58</v>
      </c>
      <c r="B1" s="32"/>
      <c r="C1" s="32"/>
      <c r="D1" s="32"/>
      <c r="E1" s="32"/>
      <c r="F1" s="32"/>
      <c r="G1" s="32"/>
    </row>
    <row r="2" spans="1:9" ht="16.95" customHeight="1" x14ac:dyDescent="0.3">
      <c r="A2" s="32"/>
      <c r="B2" s="32"/>
      <c r="C2" s="32"/>
      <c r="D2" s="32"/>
      <c r="E2" s="32"/>
      <c r="F2" s="32"/>
      <c r="G2" s="32"/>
    </row>
    <row r="3" spans="1:9" ht="16.95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1" t="s">
        <v>7</v>
      </c>
      <c r="H3" s="12" t="s">
        <v>398</v>
      </c>
      <c r="I3" t="s">
        <v>398</v>
      </c>
    </row>
    <row r="4" spans="1:9" ht="16.95" customHeight="1" x14ac:dyDescent="0.3">
      <c r="A4" s="2">
        <v>1</v>
      </c>
      <c r="B4" s="2" t="s">
        <v>313</v>
      </c>
      <c r="C4" s="2" t="s">
        <v>314</v>
      </c>
      <c r="D4" s="2">
        <v>1</v>
      </c>
      <c r="E4" s="2" t="s">
        <v>82</v>
      </c>
      <c r="F4" s="2" t="s">
        <v>10</v>
      </c>
      <c r="G4" s="9" t="s">
        <v>11</v>
      </c>
      <c r="H4" s="10">
        <f>IF(ISNUMBER(A4),IF(INT(A4)=A4,D4*VLOOKUP($A$1,'TOP LEVEL'!$B$4:$D$64,3,0),(VLOOKUP(INT(A4),$A$4:$D$86,4,0)*D4)*VLOOKUP($A$1,'TOP LEVEL'!$B$4:$D$64,3,0)),"FIND MANUALLY")</f>
        <v>1</v>
      </c>
      <c r="I4">
        <v>1</v>
      </c>
    </row>
    <row r="5" spans="1:9" ht="16.95" customHeight="1" x14ac:dyDescent="0.3">
      <c r="A5" s="2">
        <v>1.1000000000000001</v>
      </c>
      <c r="B5" s="2" t="s">
        <v>315</v>
      </c>
      <c r="C5" s="2" t="s">
        <v>93</v>
      </c>
      <c r="D5" s="2">
        <v>2</v>
      </c>
      <c r="E5" s="2" t="s">
        <v>93</v>
      </c>
      <c r="F5" s="2" t="s">
        <v>10</v>
      </c>
      <c r="G5" s="9" t="s">
        <v>11</v>
      </c>
      <c r="H5" s="10">
        <f>IF(ISNUMBER(A5),IF(INT(A5)=A5,D5*VLOOKUP($A$1,'TOP LEVEL'!$B$4:$D$64,3,0),(VLOOKUP(INT(A5),$A$4:$D$86,4,0)*D5)*VLOOKUP($A$1,'TOP LEVEL'!$B$4:$D$64,3,0)),"FIND MANUALLY")</f>
        <v>2</v>
      </c>
      <c r="I5">
        <v>2</v>
      </c>
    </row>
    <row r="6" spans="1:9" ht="16.95" customHeight="1" x14ac:dyDescent="0.3">
      <c r="A6" s="2">
        <v>1.2</v>
      </c>
      <c r="B6" s="2" t="s">
        <v>316</v>
      </c>
      <c r="C6" s="2" t="s">
        <v>93</v>
      </c>
      <c r="D6" s="2">
        <v>2</v>
      </c>
      <c r="E6" s="2" t="s">
        <v>93</v>
      </c>
      <c r="F6" s="2" t="s">
        <v>10</v>
      </c>
      <c r="G6" s="9" t="s">
        <v>11</v>
      </c>
      <c r="H6" s="10">
        <f>IF(ISNUMBER(A6),IF(INT(A6)=A6,D6*VLOOKUP($A$1,'TOP LEVEL'!$B$4:$D$64,3,0),(VLOOKUP(INT(A6),$A$4:$D$86,4,0)*D6)*VLOOKUP($A$1,'TOP LEVEL'!$B$4:$D$64,3,0)),"FIND MANUALLY")</f>
        <v>2</v>
      </c>
      <c r="I6">
        <v>2</v>
      </c>
    </row>
    <row r="7" spans="1:9" ht="16.95" customHeight="1" x14ac:dyDescent="0.3">
      <c r="A7" s="2">
        <v>1.3</v>
      </c>
      <c r="B7" s="2" t="s">
        <v>317</v>
      </c>
      <c r="C7" s="2" t="s">
        <v>93</v>
      </c>
      <c r="D7" s="2">
        <v>2</v>
      </c>
      <c r="E7" s="2" t="s">
        <v>93</v>
      </c>
      <c r="F7" s="2" t="s">
        <v>10</v>
      </c>
      <c r="G7" s="9" t="s">
        <v>11</v>
      </c>
      <c r="H7" s="10">
        <f>IF(ISNUMBER(A7),IF(INT(A7)=A7,D7*VLOOKUP($A$1,'TOP LEVEL'!$B$4:$D$64,3,0),(VLOOKUP(INT(A7),$A$4:$D$86,4,0)*D7)*VLOOKUP($A$1,'TOP LEVEL'!$B$4:$D$64,3,0)),"FIND MANUALLY")</f>
        <v>2</v>
      </c>
      <c r="I7">
        <v>2</v>
      </c>
    </row>
    <row r="8" spans="1:9" ht="16.95" customHeight="1" x14ac:dyDescent="0.3">
      <c r="A8" s="2">
        <v>1.4</v>
      </c>
      <c r="B8" s="2" t="s">
        <v>318</v>
      </c>
      <c r="C8" s="2" t="s">
        <v>93</v>
      </c>
      <c r="D8" s="2">
        <v>1</v>
      </c>
      <c r="E8" s="2" t="s">
        <v>93</v>
      </c>
      <c r="F8" s="2" t="s">
        <v>10</v>
      </c>
      <c r="G8" s="9" t="s">
        <v>11</v>
      </c>
      <c r="H8" s="10">
        <f>IF(ISNUMBER(A8),IF(INT(A8)=A8,D8*VLOOKUP($A$1,'TOP LEVEL'!$B$4:$D$64,3,0),(VLOOKUP(INT(A8),$A$4:$D$86,4,0)*D8)*VLOOKUP($A$1,'TOP LEVEL'!$B$4:$D$64,3,0)),"FIND MANUALLY")</f>
        <v>1</v>
      </c>
      <c r="I8">
        <v>1</v>
      </c>
    </row>
    <row r="9" spans="1:9" ht="16.95" customHeight="1" x14ac:dyDescent="0.3">
      <c r="A9" s="2">
        <v>2</v>
      </c>
      <c r="B9" s="2" t="s">
        <v>319</v>
      </c>
      <c r="C9" s="2" t="s">
        <v>312</v>
      </c>
      <c r="D9" s="2">
        <v>1</v>
      </c>
      <c r="E9" s="2" t="s">
        <v>225</v>
      </c>
      <c r="F9" s="2" t="s">
        <v>10</v>
      </c>
      <c r="G9" s="9" t="s">
        <v>11</v>
      </c>
      <c r="H9" s="10">
        <f>IF(ISNUMBER(A9),IF(INT(A9)=A9,D9*VLOOKUP($A$1,'TOP LEVEL'!$B$4:$D$64,3,0),(VLOOKUP(INT(A9),$A$4:$D$86,4,0)*D9)*VLOOKUP($A$1,'TOP LEVEL'!$B$4:$D$64,3,0)),"FIND MANUALLY")</f>
        <v>1</v>
      </c>
      <c r="I9">
        <v>1</v>
      </c>
    </row>
    <row r="10" spans="1:9" ht="16.95" customHeight="1" x14ac:dyDescent="0.3">
      <c r="A10" s="2">
        <v>3</v>
      </c>
      <c r="B10" s="2" t="s">
        <v>320</v>
      </c>
      <c r="C10" s="2" t="s">
        <v>312</v>
      </c>
      <c r="D10" s="2">
        <v>1</v>
      </c>
      <c r="E10" s="2" t="s">
        <v>225</v>
      </c>
      <c r="F10" s="2" t="s">
        <v>10</v>
      </c>
      <c r="G10" s="9" t="s">
        <v>11</v>
      </c>
      <c r="H10" s="10">
        <f>IF(ISNUMBER(A10),IF(INT(A10)=A10,D10*VLOOKUP($A$1,'TOP LEVEL'!$B$4:$D$64,3,0),(VLOOKUP(INT(A10),$A$4:$D$86,4,0)*D10)*VLOOKUP($A$1,'TOP LEVEL'!$B$4:$D$64,3,0)),"FIND MANUALLY")</f>
        <v>1</v>
      </c>
      <c r="I10">
        <v>1</v>
      </c>
    </row>
    <row r="11" spans="1:9" ht="16.95" customHeight="1" x14ac:dyDescent="0.3"/>
    <row r="12" spans="1:9" ht="16.95" customHeight="1" x14ac:dyDescent="0.3"/>
    <row r="13" spans="1:9" ht="16.95" customHeight="1" x14ac:dyDescent="0.3"/>
    <row r="14" spans="1:9" ht="16.95" customHeight="1" x14ac:dyDescent="0.3"/>
    <row r="15" spans="1:9" ht="16.95" customHeight="1" x14ac:dyDescent="0.3"/>
    <row r="16" spans="1:9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16.95" customHeight="1" x14ac:dyDescent="0.3"/>
    <row r="28" ht="16.95" customHeight="1" x14ac:dyDescent="0.3"/>
    <row r="29" ht="16.95" customHeight="1" x14ac:dyDescent="0.3"/>
    <row r="30" ht="16.95" customHeight="1" x14ac:dyDescent="0.3"/>
    <row r="31" ht="16.95" customHeight="1" x14ac:dyDescent="0.3"/>
    <row r="32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I30"/>
  <sheetViews>
    <sheetView zoomScaleNormal="100" workbookViewId="0">
      <selection activeCell="H4" sqref="H4"/>
    </sheetView>
  </sheetViews>
  <sheetFormatPr defaultRowHeight="14.4" x14ac:dyDescent="0.3"/>
  <cols>
    <col min="1" max="1" width="12.44140625" customWidth="1"/>
    <col min="2" max="2" width="20.6640625" customWidth="1"/>
    <col min="3" max="3" width="38" customWidth="1"/>
    <col min="4" max="4" width="9.77734375" customWidth="1"/>
    <col min="5" max="5" width="15.109375" customWidth="1"/>
    <col min="6" max="6" width="17.6640625" customWidth="1"/>
    <col min="7" max="7" width="18.88671875" customWidth="1"/>
    <col min="8" max="8" width="15.21875" style="8" customWidth="1"/>
    <col min="9" max="1025" width="8.5546875" customWidth="1"/>
  </cols>
  <sheetData>
    <row r="1" spans="1:9" ht="16.95" customHeight="1" x14ac:dyDescent="0.3">
      <c r="A1" s="32" t="s">
        <v>61</v>
      </c>
      <c r="B1" s="32"/>
      <c r="C1" s="32"/>
      <c r="D1" s="32"/>
      <c r="E1" s="32"/>
      <c r="F1" s="32"/>
      <c r="G1" s="32"/>
    </row>
    <row r="2" spans="1:9" ht="16.95" customHeight="1" x14ac:dyDescent="0.3">
      <c r="A2" s="32"/>
      <c r="B2" s="32"/>
      <c r="C2" s="32"/>
      <c r="D2" s="32"/>
      <c r="E2" s="32"/>
      <c r="F2" s="32"/>
      <c r="G2" s="32"/>
    </row>
    <row r="3" spans="1:9" ht="16.95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1" t="s">
        <v>7</v>
      </c>
      <c r="H3" s="12" t="s">
        <v>398</v>
      </c>
      <c r="I3" t="s">
        <v>398</v>
      </c>
    </row>
    <row r="4" spans="1:9" ht="16.95" customHeight="1" x14ac:dyDescent="0.3">
      <c r="A4" s="2">
        <v>1</v>
      </c>
      <c r="B4" s="2" t="s">
        <v>321</v>
      </c>
      <c r="C4" s="2" t="s">
        <v>322</v>
      </c>
      <c r="D4" s="2">
        <v>1</v>
      </c>
      <c r="E4" s="2" t="s">
        <v>90</v>
      </c>
      <c r="F4" s="2" t="s">
        <v>10</v>
      </c>
      <c r="G4" s="9" t="s">
        <v>11</v>
      </c>
      <c r="H4" s="10">
        <f>IF(ISNUMBER(A4),IF(INT(A4)=A4,D4*VLOOKUP($A$1,'TOP LEVEL'!$B$4:$D$64,3,0),(VLOOKUP(INT(A4),$A$4:$D$86,4,0)*D4)*VLOOKUP($A$1,'TOP LEVEL'!$B$4:$D$64,3,0)),"FIND MANUALLY")</f>
        <v>1</v>
      </c>
      <c r="I4">
        <v>1</v>
      </c>
    </row>
    <row r="5" spans="1:9" ht="16.95" customHeight="1" x14ac:dyDescent="0.3">
      <c r="A5" s="2">
        <v>2</v>
      </c>
      <c r="B5" s="2" t="s">
        <v>323</v>
      </c>
      <c r="C5" s="2" t="s">
        <v>324</v>
      </c>
      <c r="D5" s="2">
        <v>4</v>
      </c>
      <c r="E5" s="2" t="s">
        <v>85</v>
      </c>
      <c r="F5" s="2" t="s">
        <v>232</v>
      </c>
      <c r="G5" s="9"/>
      <c r="H5" s="10">
        <f>IF(ISNUMBER(A5),IF(INT(A5)=A5,D5*VLOOKUP($A$1,'TOP LEVEL'!$B$4:$D$64,3,0),(VLOOKUP(INT(A5),$A$4:$D$86,4,0)*D5)*VLOOKUP($A$1,'TOP LEVEL'!$B$4:$D$64,3,0)),"FIND MANUALLY")</f>
        <v>4</v>
      </c>
      <c r="I5">
        <v>4</v>
      </c>
    </row>
    <row r="6" spans="1:9" ht="16.95" customHeight="1" x14ac:dyDescent="0.3">
      <c r="A6" s="2">
        <v>2.1</v>
      </c>
      <c r="B6" s="2" t="s">
        <v>325</v>
      </c>
      <c r="C6" s="2" t="s">
        <v>326</v>
      </c>
      <c r="D6" s="2">
        <v>1</v>
      </c>
      <c r="E6" s="2" t="s">
        <v>85</v>
      </c>
      <c r="F6" s="2" t="s">
        <v>232</v>
      </c>
      <c r="G6" s="9"/>
      <c r="H6" s="10">
        <f>IF(ISNUMBER(A6),IF(INT(A6)=A6,D6*VLOOKUP($A$1,'TOP LEVEL'!$B$4:$D$64,3,0),(VLOOKUP(INT(A6),$A$4:$D$86,4,0)*D6)*VLOOKUP($A$1,'TOP LEVEL'!$B$4:$D$64,3,0)),"FIND MANUALLY")</f>
        <v>4</v>
      </c>
      <c r="I6">
        <v>4</v>
      </c>
    </row>
    <row r="7" spans="1:9" ht="30" x14ac:dyDescent="0.3">
      <c r="A7" s="2">
        <v>2.2000000000000002</v>
      </c>
      <c r="B7" s="2" t="s">
        <v>327</v>
      </c>
      <c r="C7" s="2" t="s">
        <v>328</v>
      </c>
      <c r="D7" s="2">
        <v>2</v>
      </c>
      <c r="E7" s="2" t="s">
        <v>85</v>
      </c>
      <c r="F7" s="2" t="s">
        <v>232</v>
      </c>
      <c r="G7" s="9"/>
      <c r="H7" s="10">
        <f>IF(ISNUMBER(A7),IF(INT(A7)=A7,D7*VLOOKUP($A$1,'TOP LEVEL'!$B$4:$D$64,3,0),(VLOOKUP(INT(A7),$A$4:$D$86,4,0)*D7)*VLOOKUP($A$1,'TOP LEVEL'!$B$4:$D$64,3,0)),"FIND MANUALLY")</f>
        <v>8</v>
      </c>
      <c r="I7">
        <v>8</v>
      </c>
    </row>
    <row r="8" spans="1:9" ht="15" x14ac:dyDescent="0.3">
      <c r="A8" s="2">
        <v>3</v>
      </c>
      <c r="B8" s="2" t="s">
        <v>329</v>
      </c>
      <c r="C8" s="2"/>
      <c r="D8" s="2">
        <v>2</v>
      </c>
      <c r="E8" s="2" t="s">
        <v>85</v>
      </c>
      <c r="F8" s="2" t="s">
        <v>232</v>
      </c>
      <c r="G8" s="9"/>
      <c r="H8" s="10">
        <f>IF(ISNUMBER(A8),IF(INT(A8)=A8,D8*VLOOKUP($A$1,'TOP LEVEL'!$B$4:$D$64,3,0),(VLOOKUP(INT(A8),$A$4:$D$86,4,0)*D8)*VLOOKUP($A$1,'TOP LEVEL'!$B$4:$D$64,3,0)),"FIND MANUALLY")</f>
        <v>2</v>
      </c>
      <c r="I8">
        <v>2</v>
      </c>
    </row>
    <row r="9" spans="1:9" ht="30" x14ac:dyDescent="0.3">
      <c r="A9" s="2">
        <v>3.1</v>
      </c>
      <c r="B9" s="2" t="s">
        <v>330</v>
      </c>
      <c r="C9" s="2"/>
      <c r="D9" s="2">
        <v>1</v>
      </c>
      <c r="E9" s="2" t="s">
        <v>85</v>
      </c>
      <c r="F9" s="2" t="s">
        <v>232</v>
      </c>
      <c r="G9" s="9"/>
      <c r="H9" s="10">
        <f>IF(ISNUMBER(A9),IF(INT(A9)=A9,D9*VLOOKUP($A$1,'TOP LEVEL'!$B$4:$D$64,3,0),(VLOOKUP(INT(A9),$A$4:$D$86,4,0)*D9)*VLOOKUP($A$1,'TOP LEVEL'!$B$4:$D$64,3,0)),"FIND MANUALLY")</f>
        <v>2</v>
      </c>
      <c r="I9">
        <v>2</v>
      </c>
    </row>
    <row r="10" spans="1:9" ht="15" x14ac:dyDescent="0.3">
      <c r="A10" s="2">
        <v>3.2</v>
      </c>
      <c r="B10" s="2" t="s">
        <v>331</v>
      </c>
      <c r="C10" s="2"/>
      <c r="D10" s="2">
        <v>1</v>
      </c>
      <c r="E10" s="2" t="s">
        <v>85</v>
      </c>
      <c r="F10" s="2" t="s">
        <v>232</v>
      </c>
      <c r="G10" s="9"/>
      <c r="H10" s="10">
        <f>IF(ISNUMBER(A10),IF(INT(A10)=A10,D10*VLOOKUP($A$1,'TOP LEVEL'!$B$4:$D$64,3,0),(VLOOKUP(INT(A10),$A$4:$D$86,4,0)*D10)*VLOOKUP($A$1,'TOP LEVEL'!$B$4:$D$64,3,0)),"FIND MANUALLY")</f>
        <v>2</v>
      </c>
      <c r="I10">
        <v>2</v>
      </c>
    </row>
    <row r="11" spans="1:9" ht="15" x14ac:dyDescent="0.3">
      <c r="A11" s="2">
        <v>4</v>
      </c>
      <c r="B11" s="2" t="s">
        <v>332</v>
      </c>
      <c r="C11" s="2"/>
      <c r="D11" s="2">
        <v>1</v>
      </c>
      <c r="E11" s="2" t="s">
        <v>82</v>
      </c>
      <c r="F11" s="2" t="s">
        <v>10</v>
      </c>
      <c r="G11" s="9" t="s">
        <v>11</v>
      </c>
      <c r="H11" s="10">
        <f>IF(ISNUMBER(A11),IF(INT(A11)=A11,D11*VLOOKUP($A$1,'TOP LEVEL'!$B$4:$D$64,3,0),(VLOOKUP(INT(A11),$A$4:$D$86,4,0)*D11)*VLOOKUP($A$1,'TOP LEVEL'!$B$4:$D$64,3,0)),"FIND MANUALLY")</f>
        <v>1</v>
      </c>
      <c r="I11">
        <v>1</v>
      </c>
    </row>
    <row r="12" spans="1:9" ht="15" x14ac:dyDescent="0.3">
      <c r="A12" s="2">
        <v>4.0999999999999996</v>
      </c>
      <c r="B12" s="2" t="s">
        <v>333</v>
      </c>
      <c r="C12" s="2" t="s">
        <v>322</v>
      </c>
      <c r="D12" s="2">
        <v>1</v>
      </c>
      <c r="E12" s="2" t="s">
        <v>90</v>
      </c>
      <c r="F12" s="2" t="s">
        <v>10</v>
      </c>
      <c r="G12" s="9" t="s">
        <v>11</v>
      </c>
      <c r="H12" s="10">
        <f>IF(ISNUMBER(A12),IF(INT(A12)=A12,D12*VLOOKUP($A$1,'TOP LEVEL'!$B$4:$D$64,3,0),(VLOOKUP(INT(A12),$A$4:$D$86,4,0)*D12)*VLOOKUP($A$1,'TOP LEVEL'!$B$4:$D$64,3,0)),"FIND MANUALLY")</f>
        <v>1</v>
      </c>
      <c r="I12">
        <v>1</v>
      </c>
    </row>
    <row r="13" spans="1:9" ht="16.95" customHeight="1" x14ac:dyDescent="0.3">
      <c r="A13" s="2">
        <v>4.2</v>
      </c>
      <c r="B13" s="2" t="s">
        <v>334</v>
      </c>
      <c r="C13" s="2" t="s">
        <v>174</v>
      </c>
      <c r="D13" s="2">
        <v>1</v>
      </c>
      <c r="E13" s="2" t="s">
        <v>90</v>
      </c>
      <c r="F13" s="2" t="s">
        <v>10</v>
      </c>
      <c r="G13" s="9" t="s">
        <v>11</v>
      </c>
      <c r="H13" s="10">
        <f>IF(ISNUMBER(A13),IF(INT(A13)=A13,D13*VLOOKUP($A$1,'TOP LEVEL'!$B$4:$D$64,3,0),(VLOOKUP(INT(A13),$A$4:$D$86,4,0)*D13)*VLOOKUP($A$1,'TOP LEVEL'!$B$4:$D$64,3,0)),"FIND MANUALLY")</f>
        <v>1</v>
      </c>
      <c r="I13">
        <v>1</v>
      </c>
    </row>
    <row r="14" spans="1:9" ht="16.95" customHeight="1" x14ac:dyDescent="0.3">
      <c r="A14" s="2">
        <v>5</v>
      </c>
      <c r="B14" s="2" t="s">
        <v>335</v>
      </c>
      <c r="C14" s="2"/>
      <c r="D14" s="2">
        <v>2</v>
      </c>
      <c r="E14" s="2" t="s">
        <v>85</v>
      </c>
      <c r="F14" s="2" t="s">
        <v>232</v>
      </c>
      <c r="G14" s="9"/>
      <c r="H14" s="10">
        <f>IF(ISNUMBER(A14),IF(INT(A14)=A14,D14*VLOOKUP($A$1,'TOP LEVEL'!$B$4:$D$64,3,0),(VLOOKUP(INT(A14),$A$4:$D$86,4,0)*D14)*VLOOKUP($A$1,'TOP LEVEL'!$B$4:$D$64,3,0)),"FIND MANUALLY")</f>
        <v>2</v>
      </c>
      <c r="I14">
        <v>2</v>
      </c>
    </row>
    <row r="15" spans="1:9" ht="16.95" customHeight="1" x14ac:dyDescent="0.3"/>
    <row r="16" spans="1:9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16.95" customHeight="1" x14ac:dyDescent="0.3"/>
    <row r="28" ht="16.95" customHeight="1" x14ac:dyDescent="0.3"/>
    <row r="29" ht="16.95" customHeight="1" x14ac:dyDescent="0.3"/>
    <row r="30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I30"/>
  <sheetViews>
    <sheetView zoomScaleNormal="100" workbookViewId="0">
      <selection activeCell="H4" sqref="H4"/>
    </sheetView>
  </sheetViews>
  <sheetFormatPr defaultRowHeight="14.4" x14ac:dyDescent="0.3"/>
  <cols>
    <col min="1" max="1" width="12.44140625" customWidth="1"/>
    <col min="2" max="2" width="20.6640625" customWidth="1"/>
    <col min="3" max="3" width="38" customWidth="1"/>
    <col min="4" max="4" width="9.77734375" customWidth="1"/>
    <col min="5" max="5" width="15.109375" customWidth="1"/>
    <col min="6" max="6" width="17.6640625" customWidth="1"/>
    <col min="7" max="7" width="18.88671875" customWidth="1"/>
    <col min="8" max="8" width="15.21875" style="8" customWidth="1"/>
    <col min="9" max="1025" width="8.5546875" customWidth="1"/>
  </cols>
  <sheetData>
    <row r="1" spans="1:9" ht="16.95" customHeight="1" x14ac:dyDescent="0.3">
      <c r="A1" s="32" t="s">
        <v>75</v>
      </c>
      <c r="B1" s="32"/>
      <c r="C1" s="32"/>
      <c r="D1" s="32"/>
      <c r="E1" s="32"/>
      <c r="F1" s="32"/>
      <c r="G1" s="32"/>
    </row>
    <row r="2" spans="1:9" ht="16.95" customHeight="1" x14ac:dyDescent="0.3">
      <c r="A2" s="32"/>
      <c r="B2" s="32"/>
      <c r="C2" s="32"/>
      <c r="D2" s="32"/>
      <c r="E2" s="32"/>
      <c r="F2" s="32"/>
      <c r="G2" s="32"/>
    </row>
    <row r="3" spans="1:9" ht="16.95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1" t="s">
        <v>7</v>
      </c>
      <c r="H3" s="12" t="s">
        <v>398</v>
      </c>
      <c r="I3" t="s">
        <v>398</v>
      </c>
    </row>
    <row r="4" spans="1:9" ht="30" x14ac:dyDescent="0.3">
      <c r="A4" s="2">
        <v>1</v>
      </c>
      <c r="B4" s="2" t="s">
        <v>336</v>
      </c>
      <c r="C4" s="2" t="s">
        <v>76</v>
      </c>
      <c r="D4" s="2">
        <v>1</v>
      </c>
      <c r="E4" s="2" t="s">
        <v>85</v>
      </c>
      <c r="F4" s="2" t="s">
        <v>10</v>
      </c>
      <c r="G4" s="9" t="s">
        <v>11</v>
      </c>
      <c r="H4" s="10">
        <f>IF(ISNUMBER(A4),IF(INT(A4)=A4,D4*VLOOKUP($A$1,'TOP LEVEL'!$B$4:$D$64,3,0),(VLOOKUP(INT(A4),$A$4:$D$86,4,0)*D4)*VLOOKUP($A$1,'TOP LEVEL'!$B$4:$D$64,3,0)),"FIND MANUALLY")</f>
        <v>2</v>
      </c>
      <c r="I4">
        <v>2</v>
      </c>
    </row>
    <row r="5" spans="1:9" ht="15" x14ac:dyDescent="0.3">
      <c r="A5" s="2">
        <v>2</v>
      </c>
      <c r="B5" s="2" t="s">
        <v>337</v>
      </c>
      <c r="C5" s="2" t="s">
        <v>69</v>
      </c>
      <c r="D5" s="2">
        <v>2</v>
      </c>
      <c r="E5" s="2" t="s">
        <v>85</v>
      </c>
      <c r="F5" s="2" t="s">
        <v>15</v>
      </c>
      <c r="G5" s="9"/>
      <c r="H5" s="10">
        <f>IF(ISNUMBER(A5),IF(INT(A5)=A5,D5*VLOOKUP($A$1,'TOP LEVEL'!$B$4:$D$64,3,0),(VLOOKUP(INT(A5),$A$4:$D$86,4,0)*D5)*VLOOKUP($A$1,'TOP LEVEL'!$B$4:$D$64,3,0)),"FIND MANUALLY")</f>
        <v>4</v>
      </c>
      <c r="I5">
        <v>4</v>
      </c>
    </row>
    <row r="6" spans="1:9" ht="30" x14ac:dyDescent="0.3">
      <c r="A6" s="2">
        <v>3</v>
      </c>
      <c r="B6" s="2" t="s">
        <v>338</v>
      </c>
      <c r="C6" s="2" t="s">
        <v>339</v>
      </c>
      <c r="D6" s="2">
        <v>1</v>
      </c>
      <c r="E6" s="2" t="s">
        <v>228</v>
      </c>
      <c r="F6" s="2" t="s">
        <v>10</v>
      </c>
      <c r="G6" s="9" t="s">
        <v>11</v>
      </c>
      <c r="H6" s="10">
        <f>IF(ISNUMBER(A6),IF(INT(A6)=A6,D6*VLOOKUP($A$1,'TOP LEVEL'!$B$4:$D$64,3,0),(VLOOKUP(INT(A6),$A$4:$D$86,4,0)*D6)*VLOOKUP($A$1,'TOP LEVEL'!$B$4:$D$64,3,0)),"FIND MANUALLY")</f>
        <v>2</v>
      </c>
      <c r="I6">
        <v>2</v>
      </c>
    </row>
    <row r="7" spans="1:9" ht="15" x14ac:dyDescent="0.3">
      <c r="A7" s="2">
        <v>4</v>
      </c>
      <c r="B7" s="2" t="s">
        <v>340</v>
      </c>
      <c r="C7" s="2" t="s">
        <v>341</v>
      </c>
      <c r="D7" s="2">
        <v>1</v>
      </c>
      <c r="E7" s="2" t="s">
        <v>85</v>
      </c>
      <c r="F7" s="2" t="s">
        <v>15</v>
      </c>
      <c r="G7" s="9"/>
      <c r="H7" s="10">
        <f>IF(ISNUMBER(A7),IF(INT(A7)=A7,D7*VLOOKUP($A$1,'TOP LEVEL'!$B$4:$D$64,3,0),(VLOOKUP(INT(A7),$A$4:$D$86,4,0)*D7)*VLOOKUP($A$1,'TOP LEVEL'!$B$4:$D$64,3,0)),"FIND MANUALLY")</f>
        <v>2</v>
      </c>
      <c r="I7">
        <v>2</v>
      </c>
    </row>
    <row r="8" spans="1:9" ht="15" x14ac:dyDescent="0.3">
      <c r="A8" s="2">
        <v>5</v>
      </c>
      <c r="B8" s="2" t="s">
        <v>342</v>
      </c>
      <c r="C8" s="2" t="s">
        <v>343</v>
      </c>
      <c r="D8" s="2">
        <v>4</v>
      </c>
      <c r="E8" s="2" t="s">
        <v>85</v>
      </c>
      <c r="F8" s="2" t="s">
        <v>15</v>
      </c>
      <c r="G8" s="9"/>
      <c r="H8" s="10">
        <f>IF(ISNUMBER(A8),IF(INT(A8)=A8,D8*VLOOKUP($A$1,'TOP LEVEL'!$B$4:$D$64,3,0),(VLOOKUP(INT(A8),$A$4:$D$86,4,0)*D8)*VLOOKUP($A$1,'TOP LEVEL'!$B$4:$D$64,3,0)),"FIND MANUALLY")</f>
        <v>8</v>
      </c>
      <c r="I8">
        <v>8</v>
      </c>
    </row>
    <row r="9" spans="1:9" ht="16.95" customHeight="1" x14ac:dyDescent="0.3">
      <c r="A9" s="2">
        <v>6</v>
      </c>
      <c r="B9" s="2" t="s">
        <v>344</v>
      </c>
      <c r="C9" s="2" t="s">
        <v>345</v>
      </c>
      <c r="D9" s="2">
        <v>1</v>
      </c>
      <c r="E9" s="2" t="s">
        <v>85</v>
      </c>
      <c r="F9" s="2" t="s">
        <v>15</v>
      </c>
      <c r="G9" s="9"/>
      <c r="H9" s="10">
        <f>IF(ISNUMBER(A9),IF(INT(A9)=A9,D9*VLOOKUP($A$1,'TOP LEVEL'!$B$4:$D$64,3,0),(VLOOKUP(INT(A9),$A$4:$D$86,4,0)*D9)*VLOOKUP($A$1,'TOP LEVEL'!$B$4:$D$64,3,0)),"FIND MANUALLY")</f>
        <v>2</v>
      </c>
      <c r="I9">
        <v>2</v>
      </c>
    </row>
    <row r="10" spans="1:9" ht="16.95" customHeight="1" x14ac:dyDescent="0.3">
      <c r="A10" s="2">
        <v>7</v>
      </c>
      <c r="B10" s="2" t="s">
        <v>346</v>
      </c>
      <c r="C10" s="2" t="s">
        <v>347</v>
      </c>
      <c r="D10" s="2">
        <v>1</v>
      </c>
      <c r="E10" s="2" t="s">
        <v>90</v>
      </c>
      <c r="F10" s="2" t="s">
        <v>10</v>
      </c>
      <c r="G10" s="9" t="s">
        <v>11</v>
      </c>
      <c r="H10" s="10">
        <f>IF(ISNUMBER(A10),IF(INT(A10)=A10,D10*VLOOKUP($A$1,'TOP LEVEL'!$B$4:$D$64,3,0),(VLOOKUP(INT(A10),$A$4:$D$86,4,0)*D10)*VLOOKUP($A$1,'TOP LEVEL'!$B$4:$D$64,3,0)),"FIND MANUALLY")</f>
        <v>2</v>
      </c>
      <c r="I10">
        <v>2</v>
      </c>
    </row>
    <row r="11" spans="1:9" ht="30" x14ac:dyDescent="0.3">
      <c r="A11" s="2">
        <v>8</v>
      </c>
      <c r="B11" s="2" t="s">
        <v>348</v>
      </c>
      <c r="C11" s="2" t="s">
        <v>89</v>
      </c>
      <c r="D11" s="2">
        <v>2</v>
      </c>
      <c r="E11" s="2" t="s">
        <v>228</v>
      </c>
      <c r="F11" s="2" t="s">
        <v>10</v>
      </c>
      <c r="G11" s="9" t="s">
        <v>11</v>
      </c>
      <c r="H11" s="10">
        <f>IF(ISNUMBER(A11),IF(INT(A11)=A11,D11*VLOOKUP($A$1,'TOP LEVEL'!$B$4:$D$64,3,0),(VLOOKUP(INT(A11),$A$4:$D$86,4,0)*D11)*VLOOKUP($A$1,'TOP LEVEL'!$B$4:$D$64,3,0)),"FIND MANUALLY")</f>
        <v>4</v>
      </c>
      <c r="I11">
        <v>4</v>
      </c>
    </row>
    <row r="12" spans="1:9" ht="16.95" customHeight="1" x14ac:dyDescent="0.3">
      <c r="A12" s="2">
        <v>9</v>
      </c>
      <c r="B12" s="2" t="s">
        <v>349</v>
      </c>
      <c r="C12" s="2" t="s">
        <v>350</v>
      </c>
      <c r="D12" s="2">
        <v>2</v>
      </c>
      <c r="E12" s="2" t="s">
        <v>85</v>
      </c>
      <c r="F12" s="2" t="s">
        <v>15</v>
      </c>
      <c r="G12" s="9"/>
      <c r="H12" s="10">
        <f>IF(ISNUMBER(A12),IF(INT(A12)=A12,D12*VLOOKUP($A$1,'TOP LEVEL'!$B$4:$D$64,3,0),(VLOOKUP(INT(A12),$A$4:$D$86,4,0)*D12)*VLOOKUP($A$1,'TOP LEVEL'!$B$4:$D$64,3,0)),"FIND MANUALLY")</f>
        <v>4</v>
      </c>
      <c r="I12">
        <v>4</v>
      </c>
    </row>
    <row r="13" spans="1:9" ht="16.95" customHeight="1" x14ac:dyDescent="0.3">
      <c r="A13" s="2">
        <v>10</v>
      </c>
      <c r="B13" s="2" t="s">
        <v>351</v>
      </c>
      <c r="C13" s="2" t="s">
        <v>352</v>
      </c>
      <c r="D13" s="2">
        <v>4</v>
      </c>
      <c r="E13" s="2" t="s">
        <v>85</v>
      </c>
      <c r="F13" s="2" t="s">
        <v>15</v>
      </c>
      <c r="G13" s="9"/>
      <c r="H13" s="10">
        <f>IF(ISNUMBER(A13),IF(INT(A13)=A13,D13*VLOOKUP($A$1,'TOP LEVEL'!$B$4:$D$64,3,0),(VLOOKUP(INT(A13),$A$4:$D$86,4,0)*D13)*VLOOKUP($A$1,'TOP LEVEL'!$B$4:$D$64,3,0)),"FIND MANUALLY")</f>
        <v>8</v>
      </c>
      <c r="I13">
        <v>8</v>
      </c>
    </row>
    <row r="14" spans="1:9" ht="16.95" customHeight="1" x14ac:dyDescent="0.3">
      <c r="A14" s="2">
        <v>11</v>
      </c>
      <c r="B14" s="2" t="s">
        <v>353</v>
      </c>
      <c r="C14" s="2" t="s">
        <v>354</v>
      </c>
      <c r="D14" s="2">
        <v>2</v>
      </c>
      <c r="E14" s="2" t="s">
        <v>85</v>
      </c>
      <c r="F14" s="2" t="s">
        <v>15</v>
      </c>
      <c r="G14" s="9"/>
      <c r="H14" s="10">
        <f>IF(ISNUMBER(A14),IF(INT(A14)=A14,D14*VLOOKUP($A$1,'TOP LEVEL'!$B$4:$D$64,3,0),(VLOOKUP(INT(A14),$A$4:$D$86,4,0)*D14)*VLOOKUP($A$1,'TOP LEVEL'!$B$4:$D$64,3,0)),"FIND MANUALLY")</f>
        <v>4</v>
      </c>
      <c r="I14">
        <v>4</v>
      </c>
    </row>
    <row r="15" spans="1:9" ht="16.95" customHeight="1" x14ac:dyDescent="0.3"/>
    <row r="16" spans="1:9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16.95" customHeight="1" x14ac:dyDescent="0.3"/>
    <row r="28" ht="16.95" customHeight="1" x14ac:dyDescent="0.3"/>
    <row r="29" ht="16.95" customHeight="1" x14ac:dyDescent="0.3"/>
    <row r="30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I21"/>
  <sheetViews>
    <sheetView zoomScaleNormal="100" workbookViewId="0">
      <selection activeCell="H4" sqref="H4"/>
    </sheetView>
  </sheetViews>
  <sheetFormatPr defaultRowHeight="14.4" x14ac:dyDescent="0.3"/>
  <cols>
    <col min="1" max="1" width="11.5546875" customWidth="1"/>
    <col min="2" max="2" width="23.109375" customWidth="1"/>
    <col min="3" max="3" width="20.21875" customWidth="1"/>
    <col min="4" max="4" width="9.33203125" customWidth="1"/>
    <col min="5" max="5" width="25.21875" customWidth="1"/>
    <col min="6" max="6" width="20.44140625" customWidth="1"/>
    <col min="7" max="7" width="16.33203125" customWidth="1"/>
    <col min="8" max="8" width="15.21875" style="8" customWidth="1"/>
    <col min="9" max="1025" width="8.5546875" customWidth="1"/>
  </cols>
  <sheetData>
    <row r="1" spans="1:9" x14ac:dyDescent="0.3">
      <c r="A1" s="32" t="s">
        <v>77</v>
      </c>
      <c r="B1" s="32"/>
      <c r="C1" s="32"/>
      <c r="D1" s="32"/>
      <c r="E1" s="32"/>
      <c r="F1" s="32"/>
      <c r="G1" s="32"/>
    </row>
    <row r="2" spans="1:9" x14ac:dyDescent="0.3">
      <c r="A2" s="32"/>
      <c r="B2" s="32"/>
      <c r="C2" s="32"/>
      <c r="D2" s="32"/>
      <c r="E2" s="32"/>
      <c r="F2" s="32"/>
      <c r="G2" s="32"/>
    </row>
    <row r="3" spans="1:9" ht="34.799999999999997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1" t="s">
        <v>7</v>
      </c>
      <c r="H3" s="12" t="s">
        <v>398</v>
      </c>
      <c r="I3" t="s">
        <v>398</v>
      </c>
    </row>
    <row r="4" spans="1:9" ht="15" x14ac:dyDescent="0.3">
      <c r="A4" s="2">
        <v>1</v>
      </c>
      <c r="B4" s="2" t="s">
        <v>230</v>
      </c>
      <c r="C4" s="2" t="s">
        <v>21</v>
      </c>
      <c r="D4" s="2">
        <v>1</v>
      </c>
      <c r="E4" s="2" t="s">
        <v>225</v>
      </c>
      <c r="F4" s="2" t="s">
        <v>10</v>
      </c>
      <c r="G4" s="9" t="s">
        <v>11</v>
      </c>
      <c r="H4" s="10">
        <f>IF(ISNUMBER(A4),IF(INT(A4)=A4,D4*VLOOKUP($A$1,'TOP LEVEL'!$B$4:$D$64,3,0),(VLOOKUP(INT(A4),$A$4:$D$86,4,0)*D4)*VLOOKUP($A$1,'TOP LEVEL'!$B$4:$D$64,3,0)),"FIND MANUALLY")</f>
        <v>1</v>
      </c>
      <c r="I4">
        <v>1</v>
      </c>
    </row>
    <row r="5" spans="1:9" ht="15" x14ac:dyDescent="0.3">
      <c r="A5" s="2">
        <v>2</v>
      </c>
      <c r="B5" s="2" t="s">
        <v>231</v>
      </c>
      <c r="C5" s="2"/>
      <c r="D5" s="2">
        <v>1</v>
      </c>
      <c r="E5" s="2" t="s">
        <v>85</v>
      </c>
      <c r="F5" s="2" t="s">
        <v>232</v>
      </c>
      <c r="G5" s="9"/>
      <c r="H5" s="10">
        <f>IF(ISNUMBER(A5),IF(INT(A5)=A5,D5*VLOOKUP($A$1,'TOP LEVEL'!$B$4:$D$64,3,0),(VLOOKUP(INT(A5),$A$4:$D$86,4,0)*D5)*VLOOKUP($A$1,'TOP LEVEL'!$B$4:$D$64,3,0)),"FIND MANUALLY")</f>
        <v>1</v>
      </c>
      <c r="I5">
        <v>1</v>
      </c>
    </row>
    <row r="6" spans="1:9" ht="15" x14ac:dyDescent="0.3">
      <c r="A6" s="2">
        <v>3</v>
      </c>
      <c r="B6" s="2" t="s">
        <v>233</v>
      </c>
      <c r="C6" s="2"/>
      <c r="D6" s="2">
        <v>1</v>
      </c>
      <c r="E6" s="2" t="s">
        <v>85</v>
      </c>
      <c r="F6" s="2" t="s">
        <v>232</v>
      </c>
      <c r="G6" s="9"/>
      <c r="H6" s="10">
        <f>IF(ISNUMBER(A6),IF(INT(A6)=A6,D6*VLOOKUP($A$1,'TOP LEVEL'!$B$4:$D$64,3,0),(VLOOKUP(INT(A6),$A$4:$D$86,4,0)*D6)*VLOOKUP($A$1,'TOP LEVEL'!$B$4:$D$64,3,0)),"FIND MANUALLY")</f>
        <v>1</v>
      </c>
      <c r="I6">
        <v>1</v>
      </c>
    </row>
    <row r="7" spans="1:9" ht="15" x14ac:dyDescent="0.3">
      <c r="A7" s="2">
        <v>4</v>
      </c>
      <c r="B7" s="2" t="s">
        <v>234</v>
      </c>
      <c r="C7" s="2"/>
      <c r="D7" s="2">
        <v>1</v>
      </c>
      <c r="E7" s="2" t="s">
        <v>85</v>
      </c>
      <c r="F7" s="2" t="s">
        <v>232</v>
      </c>
      <c r="G7" s="9"/>
      <c r="H7" s="10">
        <f>IF(ISNUMBER(A7),IF(INT(A7)=A7,D7*VLOOKUP($A$1,'TOP LEVEL'!$B$4:$D$64,3,0),(VLOOKUP(INT(A7),$A$4:$D$86,4,0)*D7)*VLOOKUP($A$1,'TOP LEVEL'!$B$4:$D$64,3,0)),"FIND MANUALLY")</f>
        <v>1</v>
      </c>
      <c r="I7">
        <v>1</v>
      </c>
    </row>
    <row r="8" spans="1:9" ht="15" x14ac:dyDescent="0.3">
      <c r="A8" s="2">
        <v>5</v>
      </c>
      <c r="B8" s="2" t="s">
        <v>235</v>
      </c>
      <c r="C8" s="2"/>
      <c r="D8" s="2">
        <v>1</v>
      </c>
      <c r="E8" s="2" t="s">
        <v>85</v>
      </c>
      <c r="F8" s="2" t="s">
        <v>232</v>
      </c>
      <c r="G8" s="9"/>
      <c r="H8" s="10">
        <f>IF(ISNUMBER(A8),IF(INT(A8)=A8,D8*VLOOKUP($A$1,'TOP LEVEL'!$B$4:$D$64,3,0),(VLOOKUP(INT(A8),$A$4:$D$86,4,0)*D8)*VLOOKUP($A$1,'TOP LEVEL'!$B$4:$D$64,3,0)),"FIND MANUALLY")</f>
        <v>1</v>
      </c>
      <c r="I8">
        <v>1</v>
      </c>
    </row>
    <row r="9" spans="1:9" ht="15" x14ac:dyDescent="0.3">
      <c r="A9" s="2">
        <v>6</v>
      </c>
      <c r="B9" s="2" t="s">
        <v>236</v>
      </c>
      <c r="C9" s="2"/>
      <c r="D9" s="2">
        <v>1</v>
      </c>
      <c r="E9" s="2" t="s">
        <v>85</v>
      </c>
      <c r="F9" s="2" t="s">
        <v>232</v>
      </c>
      <c r="G9" s="9"/>
      <c r="H9" s="10">
        <f>IF(ISNUMBER(A9),IF(INT(A9)=A9,D9*VLOOKUP($A$1,'TOP LEVEL'!$B$4:$D$64,3,0),(VLOOKUP(INT(A9),$A$4:$D$86,4,0)*D9)*VLOOKUP($A$1,'TOP LEVEL'!$B$4:$D$64,3,0)),"FIND MANUALLY")</f>
        <v>1</v>
      </c>
      <c r="I9">
        <v>1</v>
      </c>
    </row>
    <row r="10" spans="1:9" ht="15" x14ac:dyDescent="0.3">
      <c r="A10" s="2">
        <v>7</v>
      </c>
      <c r="B10" s="2" t="s">
        <v>237</v>
      </c>
      <c r="C10" s="2"/>
      <c r="D10" s="2">
        <v>1</v>
      </c>
      <c r="E10" s="2" t="s">
        <v>85</v>
      </c>
      <c r="F10" s="2" t="s">
        <v>232</v>
      </c>
      <c r="G10" s="9"/>
      <c r="H10" s="10">
        <f>IF(ISNUMBER(A10),IF(INT(A10)=A10,D10*VLOOKUP($A$1,'TOP LEVEL'!$B$4:$D$64,3,0),(VLOOKUP(INT(A10),$A$4:$D$86,4,0)*D10)*VLOOKUP($A$1,'TOP LEVEL'!$B$4:$D$64,3,0)),"FIND MANUALLY")</f>
        <v>1</v>
      </c>
      <c r="I10">
        <v>1</v>
      </c>
    </row>
    <row r="11" spans="1:9" ht="15" x14ac:dyDescent="0.3">
      <c r="A11" s="2">
        <v>8</v>
      </c>
      <c r="B11" s="2" t="s">
        <v>238</v>
      </c>
      <c r="C11" s="2"/>
      <c r="D11" s="2">
        <v>1</v>
      </c>
      <c r="E11" s="2" t="s">
        <v>85</v>
      </c>
      <c r="F11" s="2" t="s">
        <v>232</v>
      </c>
      <c r="G11" s="9"/>
      <c r="H11" s="10">
        <f>IF(ISNUMBER(A11),IF(INT(A11)=A11,D11*VLOOKUP($A$1,'TOP LEVEL'!$B$4:$D$64,3,0),(VLOOKUP(INT(A11),$A$4:$D$86,4,0)*D11)*VLOOKUP($A$1,'TOP LEVEL'!$B$4:$D$64,3,0)),"FIND MANUALLY")</f>
        <v>1</v>
      </c>
      <c r="I11">
        <v>1</v>
      </c>
    </row>
    <row r="12" spans="1:9" ht="15" x14ac:dyDescent="0.3">
      <c r="A12" s="2">
        <v>9</v>
      </c>
      <c r="B12" s="2" t="s">
        <v>239</v>
      </c>
      <c r="C12" s="2"/>
      <c r="D12" s="2">
        <v>1</v>
      </c>
      <c r="E12" s="2" t="s">
        <v>85</v>
      </c>
      <c r="F12" s="2" t="s">
        <v>232</v>
      </c>
      <c r="G12" s="9"/>
      <c r="H12" s="10">
        <f>IF(ISNUMBER(A12),IF(INT(A12)=A12,D12*VLOOKUP($A$1,'TOP LEVEL'!$B$4:$D$64,3,0),(VLOOKUP(INT(A12),$A$4:$D$86,4,0)*D12)*VLOOKUP($A$1,'TOP LEVEL'!$B$4:$D$64,3,0)),"FIND MANUALLY")</f>
        <v>1</v>
      </c>
      <c r="I12">
        <v>1</v>
      </c>
    </row>
    <row r="13" spans="1:9" ht="15" x14ac:dyDescent="0.3">
      <c r="A13" s="2">
        <v>10</v>
      </c>
      <c r="B13" s="2" t="s">
        <v>240</v>
      </c>
      <c r="C13" s="2"/>
      <c r="D13" s="2">
        <v>1</v>
      </c>
      <c r="E13" s="2" t="s">
        <v>85</v>
      </c>
      <c r="F13" s="2" t="s">
        <v>232</v>
      </c>
      <c r="G13" s="9"/>
      <c r="H13" s="10">
        <f>IF(ISNUMBER(A13),IF(INT(A13)=A13,D13*VLOOKUP($A$1,'TOP LEVEL'!$B$4:$D$64,3,0),(VLOOKUP(INT(A13),$A$4:$D$86,4,0)*D13)*VLOOKUP($A$1,'TOP LEVEL'!$B$4:$D$64,3,0)),"FIND MANUALLY")</f>
        <v>1</v>
      </c>
      <c r="I13">
        <v>1</v>
      </c>
    </row>
    <row r="14" spans="1:9" ht="15" x14ac:dyDescent="0.3">
      <c r="A14" s="2">
        <v>11</v>
      </c>
      <c r="B14" s="2" t="s">
        <v>241</v>
      </c>
      <c r="C14" s="2"/>
      <c r="D14" s="2">
        <v>1</v>
      </c>
      <c r="E14" s="2" t="s">
        <v>85</v>
      </c>
      <c r="F14" s="2" t="s">
        <v>232</v>
      </c>
      <c r="G14" s="9"/>
      <c r="H14" s="10">
        <f>IF(ISNUMBER(A14),IF(INT(A14)=A14,D14*VLOOKUP($A$1,'TOP LEVEL'!$B$4:$D$64,3,0),(VLOOKUP(INT(A14),$A$4:$D$86,4,0)*D14)*VLOOKUP($A$1,'TOP LEVEL'!$B$4:$D$64,3,0)),"FIND MANUALLY")</f>
        <v>1</v>
      </c>
      <c r="I14">
        <v>1</v>
      </c>
    </row>
    <row r="15" spans="1:9" ht="15" x14ac:dyDescent="0.3">
      <c r="A15" s="2">
        <v>12</v>
      </c>
      <c r="B15" s="2" t="s">
        <v>242</v>
      </c>
      <c r="C15" s="2"/>
      <c r="D15" s="2">
        <v>1</v>
      </c>
      <c r="E15" s="2" t="s">
        <v>85</v>
      </c>
      <c r="F15" s="2" t="s">
        <v>232</v>
      </c>
      <c r="G15" s="9"/>
      <c r="H15" s="10">
        <f>IF(ISNUMBER(A15),IF(INT(A15)=A15,D15*VLOOKUP($A$1,'TOP LEVEL'!$B$4:$D$64,3,0),(VLOOKUP(INT(A15),$A$4:$D$86,4,0)*D15)*VLOOKUP($A$1,'TOP LEVEL'!$B$4:$D$64,3,0)),"FIND MANUALLY")</f>
        <v>1</v>
      </c>
      <c r="I15">
        <v>1</v>
      </c>
    </row>
    <row r="16" spans="1:9" ht="15" x14ac:dyDescent="0.3">
      <c r="A16" s="2">
        <v>13</v>
      </c>
      <c r="B16" s="2" t="s">
        <v>243</v>
      </c>
      <c r="C16" s="2"/>
      <c r="D16" s="2">
        <v>1</v>
      </c>
      <c r="E16" s="2" t="s">
        <v>85</v>
      </c>
      <c r="F16" s="2" t="s">
        <v>232</v>
      </c>
      <c r="G16" s="9"/>
      <c r="H16" s="10">
        <f>IF(ISNUMBER(A16),IF(INT(A16)=A16,D16*VLOOKUP($A$1,'TOP LEVEL'!$B$4:$D$64,3,0),(VLOOKUP(INT(A16),$A$4:$D$86,4,0)*D16)*VLOOKUP($A$1,'TOP LEVEL'!$B$4:$D$64,3,0)),"FIND MANUALLY")</f>
        <v>1</v>
      </c>
      <c r="I16">
        <v>1</v>
      </c>
    </row>
    <row r="17" spans="1:9" ht="15" x14ac:dyDescent="0.3">
      <c r="A17" s="2">
        <v>14</v>
      </c>
      <c r="B17" s="2" t="s">
        <v>244</v>
      </c>
      <c r="C17" s="2"/>
      <c r="D17" s="2">
        <v>1</v>
      </c>
      <c r="E17" s="2" t="s">
        <v>85</v>
      </c>
      <c r="F17" s="2" t="s">
        <v>232</v>
      </c>
      <c r="G17" s="9"/>
      <c r="H17" s="10">
        <f>IF(ISNUMBER(A17),IF(INT(A17)=A17,D17*VLOOKUP($A$1,'TOP LEVEL'!$B$4:$D$64,3,0),(VLOOKUP(INT(A17),$A$4:$D$86,4,0)*D17)*VLOOKUP($A$1,'TOP LEVEL'!$B$4:$D$64,3,0)),"FIND MANUALLY")</f>
        <v>1</v>
      </c>
      <c r="I17">
        <v>1</v>
      </c>
    </row>
    <row r="18" spans="1:9" ht="15" x14ac:dyDescent="0.3">
      <c r="A18" s="2">
        <v>15</v>
      </c>
      <c r="B18" s="2" t="s">
        <v>245</v>
      </c>
      <c r="C18" s="2"/>
      <c r="D18" s="2">
        <v>1</v>
      </c>
      <c r="E18" s="2" t="s">
        <v>85</v>
      </c>
      <c r="F18" s="2" t="s">
        <v>232</v>
      </c>
      <c r="G18" s="9"/>
      <c r="H18" s="10">
        <f>IF(ISNUMBER(A18),IF(INT(A18)=A18,D18*VLOOKUP($A$1,'TOP LEVEL'!$B$4:$D$64,3,0),(VLOOKUP(INT(A18),$A$4:$D$86,4,0)*D18)*VLOOKUP($A$1,'TOP LEVEL'!$B$4:$D$64,3,0)),"FIND MANUALLY")</f>
        <v>1</v>
      </c>
      <c r="I18">
        <v>1</v>
      </c>
    </row>
    <row r="19" spans="1:9" ht="15" x14ac:dyDescent="0.3">
      <c r="A19" s="2">
        <v>16</v>
      </c>
      <c r="B19" s="2" t="s">
        <v>246</v>
      </c>
      <c r="C19" s="2"/>
      <c r="D19" s="2">
        <v>1</v>
      </c>
      <c r="E19" s="2" t="s">
        <v>85</v>
      </c>
      <c r="F19" s="2" t="s">
        <v>232</v>
      </c>
      <c r="G19" s="9"/>
      <c r="H19" s="10">
        <f>IF(ISNUMBER(A19),IF(INT(A19)=A19,D19*VLOOKUP($A$1,'TOP LEVEL'!$B$4:$D$64,3,0),(VLOOKUP(INT(A19),$A$4:$D$86,4,0)*D19)*VLOOKUP($A$1,'TOP LEVEL'!$B$4:$D$64,3,0)),"FIND MANUALLY")</f>
        <v>1</v>
      </c>
      <c r="I19">
        <v>1</v>
      </c>
    </row>
    <row r="20" spans="1:9" ht="15" x14ac:dyDescent="0.3">
      <c r="A20" s="2">
        <v>17</v>
      </c>
      <c r="B20" s="2" t="s">
        <v>247</v>
      </c>
      <c r="C20" s="2"/>
      <c r="D20" s="2">
        <v>1</v>
      </c>
      <c r="E20" s="2" t="s">
        <v>85</v>
      </c>
      <c r="F20" s="2" t="s">
        <v>232</v>
      </c>
      <c r="G20" s="9"/>
      <c r="H20" s="10">
        <f>IF(ISNUMBER(A20),IF(INT(A20)=A20,D20*VLOOKUP($A$1,'TOP LEVEL'!$B$4:$D$64,3,0),(VLOOKUP(INT(A20),$A$4:$D$86,4,0)*D20)*VLOOKUP($A$1,'TOP LEVEL'!$B$4:$D$64,3,0)),"FIND MANUALLY")</f>
        <v>1</v>
      </c>
      <c r="I20">
        <v>1</v>
      </c>
    </row>
    <row r="21" spans="1:9" ht="15" x14ac:dyDescent="0.3">
      <c r="A21" s="2">
        <v>18</v>
      </c>
      <c r="B21" s="2" t="s">
        <v>248</v>
      </c>
      <c r="C21" s="2" t="s">
        <v>249</v>
      </c>
      <c r="D21" s="2">
        <v>2</v>
      </c>
      <c r="E21" s="2" t="s">
        <v>85</v>
      </c>
      <c r="F21" s="2" t="s">
        <v>232</v>
      </c>
      <c r="G21" s="9"/>
      <c r="H21" s="10">
        <f>IF(ISNUMBER(A21),IF(INT(A21)=A21,D21*VLOOKUP($A$1,'TOP LEVEL'!$B$4:$D$64,3,0),(VLOOKUP(INT(A21),$A$4:$D$86,4,0)*D21)*VLOOKUP($A$1,'TOP LEVEL'!$B$4:$D$64,3,0)),"FIND MANUALLY")</f>
        <v>2</v>
      </c>
      <c r="I21">
        <v>2</v>
      </c>
    </row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I34"/>
  <sheetViews>
    <sheetView zoomScaleNormal="100" workbookViewId="0">
      <selection activeCell="H4" sqref="H4"/>
    </sheetView>
  </sheetViews>
  <sheetFormatPr defaultRowHeight="14.4" x14ac:dyDescent="0.3"/>
  <cols>
    <col min="1" max="1" width="12.44140625" customWidth="1"/>
    <col min="2" max="2" width="20.6640625" customWidth="1"/>
    <col min="3" max="3" width="38" customWidth="1"/>
    <col min="4" max="4" width="9.77734375" customWidth="1"/>
    <col min="5" max="5" width="15.109375" customWidth="1"/>
    <col min="6" max="6" width="17.6640625" customWidth="1"/>
    <col min="7" max="7" width="18.88671875" customWidth="1"/>
    <col min="8" max="8" width="15.21875" style="8" customWidth="1"/>
    <col min="9" max="1025" width="8.5546875" customWidth="1"/>
  </cols>
  <sheetData>
    <row r="1" spans="1:9" ht="16.95" customHeight="1" x14ac:dyDescent="0.3">
      <c r="A1" s="32" t="s">
        <v>78</v>
      </c>
      <c r="B1" s="32"/>
      <c r="C1" s="32"/>
      <c r="D1" s="32"/>
      <c r="E1" s="32"/>
      <c r="F1" s="32"/>
      <c r="G1" s="32"/>
    </row>
    <row r="2" spans="1:9" ht="16.95" customHeight="1" x14ac:dyDescent="0.3">
      <c r="A2" s="32"/>
      <c r="B2" s="32"/>
      <c r="C2" s="32"/>
      <c r="D2" s="32"/>
      <c r="E2" s="32"/>
      <c r="F2" s="32"/>
      <c r="G2" s="32"/>
    </row>
    <row r="3" spans="1:9" ht="16.95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1" t="s">
        <v>7</v>
      </c>
      <c r="H3" s="12" t="s">
        <v>398</v>
      </c>
      <c r="I3" t="s">
        <v>398</v>
      </c>
    </row>
    <row r="4" spans="1:9" ht="16.95" customHeight="1" x14ac:dyDescent="0.3">
      <c r="A4" s="2">
        <v>1</v>
      </c>
      <c r="B4" s="2" t="s">
        <v>355</v>
      </c>
      <c r="C4" s="2" t="s">
        <v>93</v>
      </c>
      <c r="D4" s="2">
        <v>2</v>
      </c>
      <c r="E4" s="2" t="s">
        <v>93</v>
      </c>
      <c r="F4" s="2" t="s">
        <v>10</v>
      </c>
      <c r="G4" s="9" t="s">
        <v>11</v>
      </c>
      <c r="H4" s="10">
        <f>IF(ISNUMBER(A4),IF(INT(A4)=A4,D4*VLOOKUP($A$1,'TOP LEVEL'!$B$4:$D$64,3,0),(VLOOKUP(INT(A4),$A$4:$D$86,4,0)*D4)*VLOOKUP($A$1,'TOP LEVEL'!$B$4:$D$64,3,0)),"FIND MANUALLY")</f>
        <v>2</v>
      </c>
      <c r="I4">
        <v>2</v>
      </c>
    </row>
    <row r="5" spans="1:9" ht="16.95" customHeight="1" x14ac:dyDescent="0.3">
      <c r="A5" s="2">
        <v>2</v>
      </c>
      <c r="B5" s="2" t="s">
        <v>356</v>
      </c>
      <c r="C5" s="2" t="s">
        <v>120</v>
      </c>
      <c r="D5" s="2">
        <v>2</v>
      </c>
      <c r="E5" s="2" t="s">
        <v>90</v>
      </c>
      <c r="F5" s="2" t="s">
        <v>10</v>
      </c>
      <c r="G5" s="9" t="s">
        <v>11</v>
      </c>
      <c r="H5" s="10">
        <f>IF(ISNUMBER(A5),IF(INT(A5)=A5,D5*VLOOKUP($A$1,'TOP LEVEL'!$B$4:$D$64,3,0),(VLOOKUP(INT(A5),$A$4:$D$86,4,0)*D5)*VLOOKUP($A$1,'TOP LEVEL'!$B$4:$D$64,3,0)),"FIND MANUALLY")</f>
        <v>2</v>
      </c>
      <c r="I5">
        <v>2</v>
      </c>
    </row>
    <row r="6" spans="1:9" ht="16.95" customHeight="1" x14ac:dyDescent="0.3">
      <c r="A6" s="2">
        <v>3</v>
      </c>
      <c r="B6" s="2" t="s">
        <v>357</v>
      </c>
      <c r="C6" s="2" t="s">
        <v>358</v>
      </c>
      <c r="D6" s="2">
        <v>4</v>
      </c>
      <c r="E6" s="2" t="s">
        <v>93</v>
      </c>
      <c r="F6" s="2" t="s">
        <v>10</v>
      </c>
      <c r="G6" s="9" t="s">
        <v>11</v>
      </c>
      <c r="H6" s="10">
        <f>IF(ISNUMBER(A6),IF(INT(A6)=A6,D6*VLOOKUP($A$1,'TOP LEVEL'!$B$4:$D$64,3,0),(VLOOKUP(INT(A6),$A$4:$D$86,4,0)*D6)*VLOOKUP($A$1,'TOP LEVEL'!$B$4:$D$64,3,0)),"FIND MANUALLY")</f>
        <v>4</v>
      </c>
      <c r="I6">
        <v>4</v>
      </c>
    </row>
    <row r="7" spans="1:9" ht="16.95" customHeight="1" x14ac:dyDescent="0.3">
      <c r="A7" s="2">
        <v>4</v>
      </c>
      <c r="B7" s="2" t="s">
        <v>359</v>
      </c>
      <c r="C7" s="2" t="s">
        <v>360</v>
      </c>
      <c r="D7" s="2">
        <v>1</v>
      </c>
      <c r="E7" s="2" t="s">
        <v>82</v>
      </c>
      <c r="F7" s="2" t="s">
        <v>10</v>
      </c>
      <c r="G7" s="9" t="s">
        <v>11</v>
      </c>
      <c r="H7" s="10">
        <f>IF(ISNUMBER(A7),IF(INT(A7)=A7,D7*VLOOKUP($A$1,'TOP LEVEL'!$B$4:$D$64,3,0),(VLOOKUP(INT(A7),$A$4:$D$86,4,0)*D7)*VLOOKUP($A$1,'TOP LEVEL'!$B$4:$D$64,3,0)),"FIND MANUALLY")</f>
        <v>1</v>
      </c>
      <c r="I7">
        <v>1</v>
      </c>
    </row>
    <row r="8" spans="1:9" ht="16.95" customHeight="1" x14ac:dyDescent="0.3">
      <c r="A8" s="2">
        <v>4.0999999999999996</v>
      </c>
      <c r="B8" s="2" t="s">
        <v>361</v>
      </c>
      <c r="C8" s="2" t="s">
        <v>362</v>
      </c>
      <c r="D8" s="2">
        <v>1</v>
      </c>
      <c r="E8" s="2" t="s">
        <v>90</v>
      </c>
      <c r="F8" s="2" t="s">
        <v>10</v>
      </c>
      <c r="G8" s="9" t="s">
        <v>11</v>
      </c>
      <c r="H8" s="10">
        <f>IF(ISNUMBER(A8),IF(INT(A8)=A8,D8*VLOOKUP($A$1,'TOP LEVEL'!$B$4:$D$64,3,0),(VLOOKUP(INT(A8),$A$4:$D$86,4,0)*D8)*VLOOKUP($A$1,'TOP LEVEL'!$B$4:$D$64,3,0)),"FIND MANUALLY")</f>
        <v>1</v>
      </c>
      <c r="I8">
        <v>1</v>
      </c>
    </row>
    <row r="9" spans="1:9" ht="16.95" customHeight="1" x14ac:dyDescent="0.3">
      <c r="A9" s="2">
        <v>4.2</v>
      </c>
      <c r="B9" s="2" t="s">
        <v>363</v>
      </c>
      <c r="C9" s="2" t="s">
        <v>93</v>
      </c>
      <c r="D9" s="2">
        <v>2</v>
      </c>
      <c r="E9" s="2" t="s">
        <v>93</v>
      </c>
      <c r="F9" s="2" t="s">
        <v>10</v>
      </c>
      <c r="G9" s="9" t="s">
        <v>11</v>
      </c>
      <c r="H9" s="10">
        <f>IF(ISNUMBER(A9),IF(INT(A9)=A9,D9*VLOOKUP($A$1,'TOP LEVEL'!$B$4:$D$64,3,0),(VLOOKUP(INT(A9),$A$4:$D$86,4,0)*D9)*VLOOKUP($A$1,'TOP LEVEL'!$B$4:$D$64,3,0)),"FIND MANUALLY")</f>
        <v>2</v>
      </c>
      <c r="I9">
        <v>2</v>
      </c>
    </row>
    <row r="10" spans="1:9" ht="16.95" customHeight="1" x14ac:dyDescent="0.3">
      <c r="A10" s="2">
        <v>4.3</v>
      </c>
      <c r="B10" s="2" t="s">
        <v>364</v>
      </c>
      <c r="C10" s="2" t="s">
        <v>93</v>
      </c>
      <c r="D10" s="2">
        <v>1</v>
      </c>
      <c r="E10" s="2" t="s">
        <v>93</v>
      </c>
      <c r="F10" s="2" t="s">
        <v>10</v>
      </c>
      <c r="G10" s="9" t="s">
        <v>11</v>
      </c>
      <c r="H10" s="10">
        <f>IF(ISNUMBER(A10),IF(INT(A10)=A10,D10*VLOOKUP($A$1,'TOP LEVEL'!$B$4:$D$64,3,0),(VLOOKUP(INT(A10),$A$4:$D$86,4,0)*D10)*VLOOKUP($A$1,'TOP LEVEL'!$B$4:$D$64,3,0)),"FIND MANUALLY")</f>
        <v>1</v>
      </c>
      <c r="I10">
        <v>1</v>
      </c>
    </row>
    <row r="11" spans="1:9" ht="16.95" customHeight="1" x14ac:dyDescent="0.3">
      <c r="A11" s="2">
        <v>4.4000000000000004</v>
      </c>
      <c r="B11" s="2" t="s">
        <v>365</v>
      </c>
      <c r="C11" s="2" t="s">
        <v>93</v>
      </c>
      <c r="D11" s="2">
        <v>11</v>
      </c>
      <c r="E11" s="2" t="s">
        <v>93</v>
      </c>
      <c r="F11" s="2" t="s">
        <v>10</v>
      </c>
      <c r="G11" s="9" t="s">
        <v>11</v>
      </c>
      <c r="H11" s="10">
        <f>IF(ISNUMBER(A11),IF(INT(A11)=A11,D11*VLOOKUP($A$1,'TOP LEVEL'!$B$4:$D$64,3,0),(VLOOKUP(INT(A11),$A$4:$D$86,4,0)*D11)*VLOOKUP($A$1,'TOP LEVEL'!$B$4:$D$64,3,0)),"FIND MANUALLY")</f>
        <v>11</v>
      </c>
      <c r="I11">
        <v>11</v>
      </c>
    </row>
    <row r="12" spans="1:9" ht="16.95" customHeight="1" x14ac:dyDescent="0.3">
      <c r="A12" s="2">
        <v>5</v>
      </c>
      <c r="B12" s="2" t="s">
        <v>366</v>
      </c>
      <c r="C12" s="2" t="s">
        <v>360</v>
      </c>
      <c r="D12" s="2">
        <v>1</v>
      </c>
      <c r="E12" s="2" t="s">
        <v>82</v>
      </c>
      <c r="F12" s="2" t="s">
        <v>10</v>
      </c>
      <c r="G12" s="9" t="s">
        <v>11</v>
      </c>
      <c r="H12" s="10">
        <f>IF(ISNUMBER(A12),IF(INT(A12)=A12,D12*VLOOKUP($A$1,'TOP LEVEL'!$B$4:$D$64,3,0),(VLOOKUP(INT(A12),$A$4:$D$86,4,0)*D12)*VLOOKUP($A$1,'TOP LEVEL'!$B$4:$D$64,3,0)),"FIND MANUALLY")</f>
        <v>1</v>
      </c>
      <c r="I12">
        <v>1</v>
      </c>
    </row>
    <row r="13" spans="1:9" ht="16.95" customHeight="1" x14ac:dyDescent="0.3">
      <c r="A13" s="2">
        <v>5.0999999999999996</v>
      </c>
      <c r="B13" s="2" t="s">
        <v>367</v>
      </c>
      <c r="C13" s="2" t="s">
        <v>362</v>
      </c>
      <c r="D13" s="2">
        <v>1</v>
      </c>
      <c r="E13" s="2" t="s">
        <v>90</v>
      </c>
      <c r="F13" s="2" t="s">
        <v>10</v>
      </c>
      <c r="G13" s="9" t="s">
        <v>11</v>
      </c>
      <c r="H13" s="10">
        <f>IF(ISNUMBER(A13),IF(INT(A13)=A13,D13*VLOOKUP($A$1,'TOP LEVEL'!$B$4:$D$64,3,0),(VLOOKUP(INT(A13),$A$4:$D$86,4,0)*D13)*VLOOKUP($A$1,'TOP LEVEL'!$B$4:$D$64,3,0)),"FIND MANUALLY")</f>
        <v>1</v>
      </c>
      <c r="I13">
        <v>1</v>
      </c>
    </row>
    <row r="14" spans="1:9" ht="16.95" customHeight="1" x14ac:dyDescent="0.3">
      <c r="A14" s="2">
        <v>5.2</v>
      </c>
      <c r="B14" s="2" t="s">
        <v>363</v>
      </c>
      <c r="C14" s="2" t="s">
        <v>93</v>
      </c>
      <c r="D14" s="2">
        <v>2</v>
      </c>
      <c r="E14" s="2" t="s">
        <v>93</v>
      </c>
      <c r="F14" s="2" t="s">
        <v>10</v>
      </c>
      <c r="G14" s="9" t="s">
        <v>11</v>
      </c>
      <c r="H14" s="10">
        <f>IF(ISNUMBER(A14),IF(INT(A14)=A14,D14*VLOOKUP($A$1,'TOP LEVEL'!$B$4:$D$64,3,0),(VLOOKUP(INT(A14),$A$4:$D$86,4,0)*D14)*VLOOKUP($A$1,'TOP LEVEL'!$B$4:$D$64,3,0)),"FIND MANUALLY")</f>
        <v>2</v>
      </c>
      <c r="I14">
        <v>2</v>
      </c>
    </row>
    <row r="15" spans="1:9" ht="16.95" customHeight="1" x14ac:dyDescent="0.3">
      <c r="A15" s="2">
        <v>5.3</v>
      </c>
      <c r="B15" s="2" t="s">
        <v>365</v>
      </c>
      <c r="C15" s="2" t="s">
        <v>93</v>
      </c>
      <c r="D15" s="2">
        <v>1</v>
      </c>
      <c r="E15" s="2" t="s">
        <v>93</v>
      </c>
      <c r="F15" s="2" t="s">
        <v>10</v>
      </c>
      <c r="G15" s="9" t="s">
        <v>11</v>
      </c>
      <c r="H15" s="10">
        <f>IF(ISNUMBER(A15),IF(INT(A15)=A15,D15*VLOOKUP($A$1,'TOP LEVEL'!$B$4:$D$64,3,0),(VLOOKUP(INT(A15),$A$4:$D$86,4,0)*D15)*VLOOKUP($A$1,'TOP LEVEL'!$B$4:$D$64,3,0)),"FIND MANUALLY")</f>
        <v>1</v>
      </c>
      <c r="I15">
        <v>1</v>
      </c>
    </row>
    <row r="16" spans="1:9" ht="16.95" customHeight="1" x14ac:dyDescent="0.3">
      <c r="A16" s="2">
        <v>6</v>
      </c>
      <c r="B16" s="2" t="s">
        <v>368</v>
      </c>
      <c r="C16" s="2" t="s">
        <v>28</v>
      </c>
      <c r="D16" s="2">
        <v>4</v>
      </c>
      <c r="E16" s="2" t="s">
        <v>82</v>
      </c>
      <c r="F16" s="2" t="s">
        <v>10</v>
      </c>
      <c r="G16" s="9" t="s">
        <v>11</v>
      </c>
      <c r="H16" s="10">
        <f>IF(ISNUMBER(A16),IF(INT(A16)=A16,D16*VLOOKUP($A$1,'TOP LEVEL'!$B$4:$D$64,3,0),(VLOOKUP(INT(A16),$A$4:$D$86,4,0)*D16)*VLOOKUP($A$1,'TOP LEVEL'!$B$4:$D$64,3,0)),"FIND MANUALLY")</f>
        <v>4</v>
      </c>
      <c r="I16">
        <v>4</v>
      </c>
    </row>
    <row r="17" spans="1:9" ht="16.95" customHeight="1" x14ac:dyDescent="0.3">
      <c r="A17" s="2">
        <v>6.1</v>
      </c>
      <c r="B17" s="2" t="s">
        <v>369</v>
      </c>
      <c r="C17" s="2" t="s">
        <v>93</v>
      </c>
      <c r="D17" s="2">
        <v>1</v>
      </c>
      <c r="E17" s="2" t="s">
        <v>93</v>
      </c>
      <c r="F17" s="2" t="s">
        <v>10</v>
      </c>
      <c r="G17" s="9" t="s">
        <v>11</v>
      </c>
      <c r="H17" s="10">
        <f>IF(ISNUMBER(A17),IF(INT(A17)=A17,D17*VLOOKUP($A$1,'TOP LEVEL'!$B$4:$D$64,3,0),(VLOOKUP(INT(A17),$A$4:$D$86,4,0)*D17)*VLOOKUP($A$1,'TOP LEVEL'!$B$4:$D$64,3,0)),"FIND MANUALLY")</f>
        <v>4</v>
      </c>
      <c r="I17">
        <v>4</v>
      </c>
    </row>
    <row r="18" spans="1:9" ht="16.95" customHeight="1" x14ac:dyDescent="0.3">
      <c r="A18" s="2">
        <v>6.2</v>
      </c>
      <c r="B18" s="2" t="s">
        <v>370</v>
      </c>
      <c r="C18" s="2" t="s">
        <v>120</v>
      </c>
      <c r="D18" s="2">
        <v>1</v>
      </c>
      <c r="E18" s="2" t="s">
        <v>90</v>
      </c>
      <c r="F18" s="2" t="s">
        <v>10</v>
      </c>
      <c r="G18" s="9" t="s">
        <v>11</v>
      </c>
      <c r="H18" s="10">
        <f>IF(ISNUMBER(A18),IF(INT(A18)=A18,D18*VLOOKUP($A$1,'TOP LEVEL'!$B$4:$D$64,3,0),(VLOOKUP(INT(A18),$A$4:$D$86,4,0)*D18)*VLOOKUP($A$1,'TOP LEVEL'!$B$4:$D$64,3,0)),"FIND MANUALLY")</f>
        <v>4</v>
      </c>
      <c r="I18">
        <v>4</v>
      </c>
    </row>
    <row r="19" spans="1:9" ht="16.95" customHeight="1" x14ac:dyDescent="0.3">
      <c r="A19" s="2">
        <v>7</v>
      </c>
      <c r="B19" s="2" t="s">
        <v>371</v>
      </c>
      <c r="C19" s="2" t="s">
        <v>28</v>
      </c>
      <c r="D19" s="2">
        <v>4</v>
      </c>
      <c r="E19" s="2" t="s">
        <v>82</v>
      </c>
      <c r="F19" s="2" t="s">
        <v>10</v>
      </c>
      <c r="G19" s="9" t="s">
        <v>11</v>
      </c>
      <c r="H19" s="10">
        <f>IF(ISNUMBER(A19),IF(INT(A19)=A19,D19*VLOOKUP($A$1,'TOP LEVEL'!$B$4:$D$64,3,0),(VLOOKUP(INT(A19),$A$4:$D$86,4,0)*D19)*VLOOKUP($A$1,'TOP LEVEL'!$B$4:$D$64,3,0)),"FIND MANUALLY")</f>
        <v>4</v>
      </c>
      <c r="I19">
        <v>4</v>
      </c>
    </row>
    <row r="20" spans="1:9" ht="16.95" customHeight="1" x14ac:dyDescent="0.3">
      <c r="A20" s="2">
        <v>7.1</v>
      </c>
      <c r="B20" s="2" t="s">
        <v>372</v>
      </c>
      <c r="C20" s="2" t="s">
        <v>93</v>
      </c>
      <c r="D20" s="2">
        <v>1</v>
      </c>
      <c r="E20" s="2" t="s">
        <v>93</v>
      </c>
      <c r="F20" s="2" t="s">
        <v>10</v>
      </c>
      <c r="G20" s="9" t="s">
        <v>11</v>
      </c>
      <c r="H20" s="10">
        <f>IF(ISNUMBER(A20),IF(INT(A20)=A20,D20*VLOOKUP($A$1,'TOP LEVEL'!$B$4:$D$64,3,0),(VLOOKUP(INT(A20),$A$4:$D$86,4,0)*D20)*VLOOKUP($A$1,'TOP LEVEL'!$B$4:$D$64,3,0)),"FIND MANUALLY")</f>
        <v>4</v>
      </c>
      <c r="I20">
        <v>4</v>
      </c>
    </row>
    <row r="21" spans="1:9" ht="16.95" customHeight="1" x14ac:dyDescent="0.3">
      <c r="A21" s="2">
        <v>7.2</v>
      </c>
      <c r="B21" s="2" t="s">
        <v>370</v>
      </c>
      <c r="C21" s="2" t="s">
        <v>120</v>
      </c>
      <c r="D21" s="2">
        <v>1</v>
      </c>
      <c r="E21" s="2" t="s">
        <v>90</v>
      </c>
      <c r="F21" s="2" t="s">
        <v>10</v>
      </c>
      <c r="G21" s="9" t="s">
        <v>11</v>
      </c>
      <c r="H21" s="10">
        <f>IF(ISNUMBER(A21),IF(INT(A21)=A21,D21*VLOOKUP($A$1,'TOP LEVEL'!$B$4:$D$64,3,0),(VLOOKUP(INT(A21),$A$4:$D$86,4,0)*D21)*VLOOKUP($A$1,'TOP LEVEL'!$B$4:$D$64,3,0)),"FIND MANUALLY")</f>
        <v>4</v>
      </c>
      <c r="I21">
        <v>4</v>
      </c>
    </row>
    <row r="22" spans="1:9" ht="16.95" customHeight="1" x14ac:dyDescent="0.3">
      <c r="A22" s="2">
        <v>7.3</v>
      </c>
      <c r="B22" s="2" t="s">
        <v>373</v>
      </c>
      <c r="C22" s="2" t="s">
        <v>93</v>
      </c>
      <c r="D22" s="2">
        <v>1</v>
      </c>
      <c r="E22" s="2" t="s">
        <v>93</v>
      </c>
      <c r="F22" s="2" t="s">
        <v>10</v>
      </c>
      <c r="G22" s="9" t="s">
        <v>11</v>
      </c>
      <c r="H22" s="10">
        <f>IF(ISNUMBER(A22),IF(INT(A22)=A22,D22*VLOOKUP($A$1,'TOP LEVEL'!$B$4:$D$64,3,0),(VLOOKUP(INT(A22),$A$4:$D$86,4,0)*D22)*VLOOKUP($A$1,'TOP LEVEL'!$B$4:$D$64,3,0)),"FIND MANUALLY")</f>
        <v>4</v>
      </c>
      <c r="I22">
        <v>4</v>
      </c>
    </row>
    <row r="23" spans="1:9" ht="16.95" customHeight="1" x14ac:dyDescent="0.3">
      <c r="A23" s="2">
        <v>8</v>
      </c>
      <c r="B23" s="2" t="s">
        <v>374</v>
      </c>
      <c r="C23" s="2" t="s">
        <v>93</v>
      </c>
      <c r="D23" s="2">
        <v>2</v>
      </c>
      <c r="E23" s="2" t="s">
        <v>93</v>
      </c>
      <c r="F23" s="2" t="s">
        <v>10</v>
      </c>
      <c r="G23" s="9" t="s">
        <v>11</v>
      </c>
      <c r="H23" s="10">
        <f>IF(ISNUMBER(A23),IF(INT(A23)=A23,D23*VLOOKUP($A$1,'TOP LEVEL'!$B$4:$D$64,3,0),(VLOOKUP(INT(A23),$A$4:$D$86,4,0)*D23)*VLOOKUP($A$1,'TOP LEVEL'!$B$4:$D$64,3,0)),"FIND MANUALLY")</f>
        <v>2</v>
      </c>
      <c r="I23">
        <v>2</v>
      </c>
    </row>
    <row r="24" spans="1:9" ht="16.95" customHeight="1" x14ac:dyDescent="0.3">
      <c r="A24" s="2">
        <v>9</v>
      </c>
      <c r="B24" s="2" t="s">
        <v>375</v>
      </c>
      <c r="C24" s="2" t="s">
        <v>93</v>
      </c>
      <c r="D24" s="2">
        <v>1</v>
      </c>
      <c r="E24" s="2" t="s">
        <v>93</v>
      </c>
      <c r="F24" s="2" t="s">
        <v>10</v>
      </c>
      <c r="G24" s="9" t="s">
        <v>11</v>
      </c>
      <c r="H24" s="10">
        <f>IF(ISNUMBER(A24),IF(INT(A24)=A24,D24*VLOOKUP($A$1,'TOP LEVEL'!$B$4:$D$64,3,0),(VLOOKUP(INT(A24),$A$4:$D$86,4,0)*D24)*VLOOKUP($A$1,'TOP LEVEL'!$B$4:$D$64,3,0)),"FIND MANUALLY")</f>
        <v>1</v>
      </c>
      <c r="I24">
        <v>1</v>
      </c>
    </row>
    <row r="25" spans="1:9" ht="16.95" customHeight="1" x14ac:dyDescent="0.3">
      <c r="A25" s="2">
        <v>10</v>
      </c>
      <c r="B25" s="2" t="s">
        <v>376</v>
      </c>
      <c r="C25" s="2" t="s">
        <v>28</v>
      </c>
      <c r="D25" s="2">
        <v>1</v>
      </c>
      <c r="E25" s="2" t="s">
        <v>82</v>
      </c>
      <c r="F25" s="2" t="s">
        <v>10</v>
      </c>
      <c r="G25" s="9" t="s">
        <v>11</v>
      </c>
      <c r="H25" s="10">
        <f>IF(ISNUMBER(A25),IF(INT(A25)=A25,D25*VLOOKUP($A$1,'TOP LEVEL'!$B$4:$D$64,3,0),(VLOOKUP(INT(A25),$A$4:$D$86,4,0)*D25)*VLOOKUP($A$1,'TOP LEVEL'!$B$4:$D$64,3,0)),"FIND MANUALLY")</f>
        <v>1</v>
      </c>
      <c r="I25">
        <v>1</v>
      </c>
    </row>
    <row r="26" spans="1:9" ht="16.95" customHeight="1" x14ac:dyDescent="0.3">
      <c r="A26" s="2">
        <v>10.1</v>
      </c>
      <c r="B26" s="2" t="s">
        <v>377</v>
      </c>
      <c r="C26" s="2" t="s">
        <v>93</v>
      </c>
      <c r="D26" s="2">
        <v>1</v>
      </c>
      <c r="E26" s="2" t="s">
        <v>93</v>
      </c>
      <c r="F26" s="2" t="s">
        <v>10</v>
      </c>
      <c r="G26" s="9" t="s">
        <v>11</v>
      </c>
      <c r="H26" s="10">
        <f>IF(ISNUMBER(A26),IF(INT(A26)=A26,D26*VLOOKUP($A$1,'TOP LEVEL'!$B$4:$D$64,3,0),(VLOOKUP(INT(A26),$A$4:$D$86,4,0)*D26)*VLOOKUP($A$1,'TOP LEVEL'!$B$4:$D$64,3,0)),"FIND MANUALLY")</f>
        <v>1</v>
      </c>
      <c r="I26">
        <v>1</v>
      </c>
    </row>
    <row r="27" spans="1:9" ht="16.95" customHeight="1" x14ac:dyDescent="0.3">
      <c r="A27" s="2">
        <v>10.199999999999999</v>
      </c>
      <c r="B27" s="2" t="s">
        <v>378</v>
      </c>
      <c r="C27" s="2" t="s">
        <v>93</v>
      </c>
      <c r="D27" s="2">
        <v>1</v>
      </c>
      <c r="E27" s="2" t="s">
        <v>93</v>
      </c>
      <c r="F27" s="2" t="s">
        <v>10</v>
      </c>
      <c r="G27" s="9" t="s">
        <v>11</v>
      </c>
      <c r="H27" s="10">
        <f>IF(ISNUMBER(A27),IF(INT(A27)=A27,D27*VLOOKUP($A$1,'TOP LEVEL'!$B$4:$D$64,3,0),(VLOOKUP(INT(A27),$A$4:$D$86,4,0)*D27)*VLOOKUP($A$1,'TOP LEVEL'!$B$4:$D$64,3,0)),"FIND MANUALLY")</f>
        <v>1</v>
      </c>
      <c r="I27">
        <v>1</v>
      </c>
    </row>
    <row r="28" spans="1:9" ht="16.95" customHeight="1" x14ac:dyDescent="0.3">
      <c r="A28" s="2">
        <v>11</v>
      </c>
      <c r="B28" s="2" t="s">
        <v>379</v>
      </c>
      <c r="C28" s="2" t="s">
        <v>380</v>
      </c>
      <c r="D28" s="2">
        <v>4</v>
      </c>
      <c r="E28" s="2" t="s">
        <v>228</v>
      </c>
      <c r="F28" s="2" t="s">
        <v>10</v>
      </c>
      <c r="G28" s="9" t="s">
        <v>11</v>
      </c>
      <c r="H28" s="10">
        <f>IF(ISNUMBER(A28),IF(INT(A28)=A28,D28*VLOOKUP($A$1,'TOP LEVEL'!$B$4:$D$64,3,0),(VLOOKUP(INT(A28),$A$4:$D$86,4,0)*D28)*VLOOKUP($A$1,'TOP LEVEL'!$B$4:$D$64,3,0)),"FIND MANUALLY")</f>
        <v>4</v>
      </c>
      <c r="I28">
        <v>4</v>
      </c>
    </row>
    <row r="29" spans="1:9" ht="16.95" customHeight="1" x14ac:dyDescent="0.3">
      <c r="A29" s="2">
        <v>12</v>
      </c>
      <c r="B29" s="2" t="s">
        <v>381</v>
      </c>
      <c r="C29" s="2" t="s">
        <v>28</v>
      </c>
      <c r="D29" s="2">
        <v>1</v>
      </c>
      <c r="E29" s="2" t="s">
        <v>82</v>
      </c>
      <c r="F29" s="2" t="s">
        <v>10</v>
      </c>
      <c r="G29" s="9" t="s">
        <v>11</v>
      </c>
      <c r="H29" s="10">
        <f>IF(ISNUMBER(A29),IF(INT(A29)=A29,D29*VLOOKUP($A$1,'TOP LEVEL'!$B$4:$D$64,3,0),(VLOOKUP(INT(A29),$A$4:$D$86,4,0)*D29)*VLOOKUP($A$1,'TOP LEVEL'!$B$4:$D$64,3,0)),"FIND MANUALLY")</f>
        <v>1</v>
      </c>
      <c r="I29">
        <v>1</v>
      </c>
    </row>
    <row r="30" spans="1:9" ht="16.95" customHeight="1" x14ac:dyDescent="0.3">
      <c r="A30" s="2">
        <v>12.1</v>
      </c>
      <c r="B30" s="2" t="s">
        <v>382</v>
      </c>
      <c r="C30" s="2" t="s">
        <v>93</v>
      </c>
      <c r="D30" s="2">
        <v>2</v>
      </c>
      <c r="E30" s="2" t="s">
        <v>93</v>
      </c>
      <c r="F30" s="2" t="s">
        <v>10</v>
      </c>
      <c r="G30" s="9" t="s">
        <v>11</v>
      </c>
      <c r="H30" s="10">
        <f>IF(ISNUMBER(A30),IF(INT(A30)=A30,D30*VLOOKUP($A$1,'TOP LEVEL'!$B$4:$D$64,3,0),(VLOOKUP(INT(A30),$A$4:$D$86,4,0)*D30)*VLOOKUP($A$1,'TOP LEVEL'!$B$4:$D$64,3,0)),"FIND MANUALLY")</f>
        <v>2</v>
      </c>
      <c r="I30">
        <v>2</v>
      </c>
    </row>
    <row r="31" spans="1:9" ht="16.95" customHeight="1" x14ac:dyDescent="0.3">
      <c r="A31" s="2">
        <v>12.2</v>
      </c>
      <c r="B31" s="2" t="s">
        <v>383</v>
      </c>
      <c r="C31" s="2" t="s">
        <v>93</v>
      </c>
      <c r="D31" s="2">
        <v>1</v>
      </c>
      <c r="E31" s="2" t="s">
        <v>93</v>
      </c>
      <c r="F31" s="2" t="s">
        <v>10</v>
      </c>
      <c r="G31" s="9" t="s">
        <v>11</v>
      </c>
      <c r="H31" s="10">
        <f>IF(ISNUMBER(A31),IF(INT(A31)=A31,D31*VLOOKUP($A$1,'TOP LEVEL'!$B$4:$D$64,3,0),(VLOOKUP(INT(A31),$A$4:$D$86,4,0)*D31)*VLOOKUP($A$1,'TOP LEVEL'!$B$4:$D$64,3,0)),"FIND MANUALLY")</f>
        <v>1</v>
      </c>
      <c r="I31">
        <v>1</v>
      </c>
    </row>
    <row r="32" spans="1:9" ht="15.6" x14ac:dyDescent="0.3">
      <c r="A32" s="2">
        <v>13</v>
      </c>
      <c r="B32" s="2" t="s">
        <v>384</v>
      </c>
      <c r="C32" s="6" t="s">
        <v>385</v>
      </c>
      <c r="D32" s="2">
        <v>1</v>
      </c>
      <c r="E32" s="2" t="s">
        <v>85</v>
      </c>
      <c r="F32" s="2" t="s">
        <v>15</v>
      </c>
      <c r="G32" s="9"/>
      <c r="H32" s="10">
        <f>IF(ISNUMBER(A32),IF(INT(A32)=A32,D32*VLOOKUP($A$1,'TOP LEVEL'!$B$4:$D$64,3,0),(VLOOKUP(INT(A32),$A$4:$D$86,4,0)*D32)*VLOOKUP($A$1,'TOP LEVEL'!$B$4:$D$64,3,0)),"FIND MANUALLY")</f>
        <v>1</v>
      </c>
      <c r="I32">
        <v>1</v>
      </c>
    </row>
    <row r="33" spans="1:9" ht="15" x14ac:dyDescent="0.3">
      <c r="A33" s="2">
        <v>14</v>
      </c>
      <c r="B33" s="2" t="s">
        <v>386</v>
      </c>
      <c r="C33" s="2" t="s">
        <v>189</v>
      </c>
      <c r="D33" s="2">
        <v>1</v>
      </c>
      <c r="E33" s="2" t="s">
        <v>90</v>
      </c>
      <c r="F33" s="2" t="s">
        <v>10</v>
      </c>
      <c r="G33" s="9" t="s">
        <v>11</v>
      </c>
      <c r="H33" s="10">
        <f>IF(ISNUMBER(A33),IF(INT(A33)=A33,D33*VLOOKUP($A$1,'TOP LEVEL'!$B$4:$D$64,3,0),(VLOOKUP(INT(A33),$A$4:$D$86,4,0)*D33)*VLOOKUP($A$1,'TOP LEVEL'!$B$4:$D$64,3,0)),"FIND MANUALLY")</f>
        <v>1</v>
      </c>
      <c r="I33">
        <v>1</v>
      </c>
    </row>
    <row r="34" spans="1:9" ht="15" x14ac:dyDescent="0.3">
      <c r="A34" s="2">
        <v>15</v>
      </c>
      <c r="B34" s="2" t="s">
        <v>387</v>
      </c>
      <c r="C34" s="2" t="s">
        <v>274</v>
      </c>
      <c r="D34" s="2">
        <v>2</v>
      </c>
      <c r="E34" s="2" t="s">
        <v>90</v>
      </c>
      <c r="F34" s="2" t="s">
        <v>10</v>
      </c>
      <c r="G34" s="9" t="s">
        <v>11</v>
      </c>
      <c r="H34" s="10">
        <f>IF(ISNUMBER(A34),IF(INT(A34)=A34,D34*VLOOKUP($A$1,'TOP LEVEL'!$B$4:$D$64,3,0),(VLOOKUP(INT(A34),$A$4:$D$86,4,0)*D34)*VLOOKUP($A$1,'TOP LEVEL'!$B$4:$D$64,3,0)),"FIND MANUALLY")</f>
        <v>2</v>
      </c>
      <c r="I34">
        <v>2</v>
      </c>
    </row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I28"/>
  <sheetViews>
    <sheetView zoomScaleNormal="100" workbookViewId="0">
      <selection activeCell="H4" sqref="H4"/>
    </sheetView>
  </sheetViews>
  <sheetFormatPr defaultRowHeight="14.4" x14ac:dyDescent="0.3"/>
  <cols>
    <col min="1" max="1" width="12.44140625" customWidth="1"/>
    <col min="2" max="2" width="20.6640625" customWidth="1"/>
    <col min="3" max="3" width="38" customWidth="1"/>
    <col min="4" max="4" width="9.77734375" customWidth="1"/>
    <col min="5" max="5" width="15.109375" customWidth="1"/>
    <col min="6" max="6" width="17.6640625" customWidth="1"/>
    <col min="7" max="7" width="18.88671875" customWidth="1"/>
    <col min="8" max="8" width="15.21875" style="8" customWidth="1"/>
    <col min="9" max="1025" width="8.5546875" customWidth="1"/>
  </cols>
  <sheetData>
    <row r="1" spans="1:9" ht="16.95" customHeight="1" x14ac:dyDescent="0.3">
      <c r="A1" s="32" t="s">
        <v>80</v>
      </c>
      <c r="B1" s="32"/>
      <c r="C1" s="32"/>
      <c r="D1" s="32"/>
      <c r="E1" s="32"/>
      <c r="F1" s="32"/>
      <c r="G1" s="32"/>
    </row>
    <row r="2" spans="1:9" ht="16.95" customHeight="1" x14ac:dyDescent="0.3">
      <c r="A2" s="32"/>
      <c r="B2" s="32"/>
      <c r="C2" s="32"/>
      <c r="D2" s="32"/>
      <c r="E2" s="32"/>
      <c r="F2" s="32"/>
      <c r="G2" s="32"/>
    </row>
    <row r="3" spans="1:9" ht="16.95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1" t="s">
        <v>7</v>
      </c>
      <c r="H3" s="12" t="s">
        <v>398</v>
      </c>
      <c r="I3" t="s">
        <v>398</v>
      </c>
    </row>
    <row r="4" spans="1:9" ht="16.95" customHeight="1" x14ac:dyDescent="0.3">
      <c r="A4" s="2">
        <v>1</v>
      </c>
      <c r="B4" s="2" t="s">
        <v>388</v>
      </c>
      <c r="C4" s="2" t="s">
        <v>90</v>
      </c>
      <c r="D4" s="2">
        <v>2</v>
      </c>
      <c r="E4" s="2" t="s">
        <v>90</v>
      </c>
      <c r="F4" s="2" t="s">
        <v>10</v>
      </c>
      <c r="G4" s="9" t="s">
        <v>11</v>
      </c>
      <c r="H4" s="10">
        <f>IF(ISNUMBER(A4),IF(INT(A4)=A4,D4*VLOOKUP($A$1,'TOP LEVEL'!$B$4:$D$64,3,0),(VLOOKUP(INT(A4),$A$4:$D$86,4,0)*D4)*VLOOKUP($A$1,'TOP LEVEL'!$B$4:$D$64,3,0)),"FIND MANUALLY")</f>
        <v>2</v>
      </c>
      <c r="I4">
        <v>2</v>
      </c>
    </row>
    <row r="5" spans="1:9" ht="16.95" customHeight="1" x14ac:dyDescent="0.3">
      <c r="A5" s="2">
        <v>2</v>
      </c>
      <c r="B5" s="2" t="s">
        <v>389</v>
      </c>
      <c r="C5" s="2" t="s">
        <v>90</v>
      </c>
      <c r="D5" s="2">
        <v>1</v>
      </c>
      <c r="E5" s="2" t="s">
        <v>90</v>
      </c>
      <c r="F5" s="2" t="s">
        <v>10</v>
      </c>
      <c r="G5" s="9" t="s">
        <v>11</v>
      </c>
      <c r="H5" s="10">
        <f>IF(ISNUMBER(A5),IF(INT(A5)=A5,D5*VLOOKUP($A$1,'TOP LEVEL'!$B$4:$D$64,3,0),(VLOOKUP(INT(A5),$A$4:$D$86,4,0)*D5)*VLOOKUP($A$1,'TOP LEVEL'!$B$4:$D$64,3,0)),"FIND MANUALLY")</f>
        <v>1</v>
      </c>
      <c r="I5">
        <v>1</v>
      </c>
    </row>
    <row r="6" spans="1:9" ht="16.95" customHeight="1" x14ac:dyDescent="0.3">
      <c r="A6" s="2">
        <v>3</v>
      </c>
      <c r="B6" s="2" t="s">
        <v>390</v>
      </c>
      <c r="C6" s="2" t="s">
        <v>90</v>
      </c>
      <c r="D6" s="2">
        <v>1</v>
      </c>
      <c r="E6" s="2" t="s">
        <v>90</v>
      </c>
      <c r="F6" s="2" t="s">
        <v>10</v>
      </c>
      <c r="G6" s="9" t="s">
        <v>11</v>
      </c>
      <c r="H6" s="10">
        <f>IF(ISNUMBER(A6),IF(INT(A6)=A6,D6*VLOOKUP($A$1,'TOP LEVEL'!$B$4:$D$64,3,0),(VLOOKUP(INT(A6),$A$4:$D$86,4,0)*D6)*VLOOKUP($A$1,'TOP LEVEL'!$B$4:$D$64,3,0)),"FIND MANUALLY")</f>
        <v>1</v>
      </c>
      <c r="I6">
        <v>1</v>
      </c>
    </row>
    <row r="7" spans="1:9" ht="16.95" customHeight="1" x14ac:dyDescent="0.3">
      <c r="A7" s="2">
        <v>4</v>
      </c>
      <c r="B7" s="2" t="s">
        <v>391</v>
      </c>
      <c r="C7" s="2" t="s">
        <v>90</v>
      </c>
      <c r="D7" s="2">
        <v>3</v>
      </c>
      <c r="E7" s="2" t="s">
        <v>90</v>
      </c>
      <c r="F7" s="2" t="s">
        <v>10</v>
      </c>
      <c r="G7" s="9" t="s">
        <v>11</v>
      </c>
      <c r="H7" s="10">
        <f>IF(ISNUMBER(A7),IF(INT(A7)=A7,D7*VLOOKUP($A$1,'TOP LEVEL'!$B$4:$D$64,3,0),(VLOOKUP(INT(A7),$A$4:$D$86,4,0)*D7)*VLOOKUP($A$1,'TOP LEVEL'!$B$4:$D$64,3,0)),"FIND MANUALLY")</f>
        <v>3</v>
      </c>
      <c r="I7">
        <v>3</v>
      </c>
    </row>
    <row r="8" spans="1:9" ht="16.95" customHeight="1" x14ac:dyDescent="0.3">
      <c r="A8" s="2">
        <v>5</v>
      </c>
      <c r="B8" s="2" t="s">
        <v>392</v>
      </c>
      <c r="C8" s="2" t="s">
        <v>126</v>
      </c>
      <c r="D8" s="2">
        <v>2</v>
      </c>
      <c r="E8" s="2" t="s">
        <v>90</v>
      </c>
      <c r="F8" s="2" t="s">
        <v>10</v>
      </c>
      <c r="G8" s="9" t="s">
        <v>11</v>
      </c>
      <c r="H8" s="10">
        <f>IF(ISNUMBER(A8),IF(INT(A8)=A8,D8*VLOOKUP($A$1,'TOP LEVEL'!$B$4:$D$64,3,0),(VLOOKUP(INT(A8),$A$4:$D$86,4,0)*D8)*VLOOKUP($A$1,'TOP LEVEL'!$B$4:$D$64,3,0)),"FIND MANUALLY")</f>
        <v>2</v>
      </c>
      <c r="I8">
        <v>2</v>
      </c>
    </row>
    <row r="9" spans="1:9" ht="16.95" customHeight="1" x14ac:dyDescent="0.3">
      <c r="A9" s="2">
        <v>6</v>
      </c>
      <c r="B9" s="2" t="s">
        <v>393</v>
      </c>
      <c r="C9" s="2" t="s">
        <v>126</v>
      </c>
      <c r="D9" s="2">
        <v>2</v>
      </c>
      <c r="E9" s="2" t="s">
        <v>90</v>
      </c>
      <c r="F9" s="2" t="s">
        <v>10</v>
      </c>
      <c r="G9" s="9" t="s">
        <v>11</v>
      </c>
      <c r="H9" s="10">
        <f>IF(ISNUMBER(A9),IF(INT(A9)=A9,D9*VLOOKUP($A$1,'TOP LEVEL'!$B$4:$D$64,3,0),(VLOOKUP(INT(A9),$A$4:$D$86,4,0)*D9)*VLOOKUP($A$1,'TOP LEVEL'!$B$4:$D$64,3,0)),"FIND MANUALLY")</f>
        <v>2</v>
      </c>
      <c r="I9">
        <v>2</v>
      </c>
    </row>
    <row r="10" spans="1:9" ht="16.95" customHeight="1" x14ac:dyDescent="0.3"/>
    <row r="11" spans="1:9" ht="16.95" customHeight="1" x14ac:dyDescent="0.3"/>
    <row r="12" spans="1:9" ht="16.95" customHeight="1" x14ac:dyDescent="0.3"/>
    <row r="13" spans="1:9" ht="16.95" customHeight="1" x14ac:dyDescent="0.3"/>
    <row r="14" spans="1:9" ht="16.95" customHeight="1" x14ac:dyDescent="0.3"/>
    <row r="15" spans="1:9" ht="16.95" customHeight="1" x14ac:dyDescent="0.3"/>
    <row r="16" spans="1:9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16.95" customHeight="1" x14ac:dyDescent="0.3"/>
    <row r="28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I30"/>
  <sheetViews>
    <sheetView zoomScaleNormal="100" workbookViewId="0">
      <selection activeCell="H4" sqref="H4"/>
    </sheetView>
  </sheetViews>
  <sheetFormatPr defaultRowHeight="14.4" x14ac:dyDescent="0.3"/>
  <cols>
    <col min="1" max="1" width="12.44140625" customWidth="1"/>
    <col min="2" max="2" width="20.6640625" customWidth="1"/>
    <col min="3" max="3" width="38" customWidth="1"/>
    <col min="4" max="4" width="9.77734375" customWidth="1"/>
    <col min="5" max="5" width="15.109375" customWidth="1"/>
    <col min="6" max="6" width="17.6640625" customWidth="1"/>
    <col min="7" max="7" width="18.88671875" customWidth="1"/>
    <col min="8" max="8" width="15.21875" style="8" customWidth="1"/>
    <col min="9" max="1025" width="8.5546875" customWidth="1"/>
  </cols>
  <sheetData>
    <row r="1" spans="1:9" ht="16.95" customHeight="1" x14ac:dyDescent="0.3">
      <c r="A1" s="32" t="s">
        <v>94</v>
      </c>
      <c r="B1" s="32"/>
      <c r="C1" s="32"/>
      <c r="D1" s="32"/>
      <c r="E1" s="32"/>
      <c r="F1" s="32"/>
      <c r="G1" s="32"/>
    </row>
    <row r="2" spans="1:9" ht="16.95" customHeight="1" x14ac:dyDescent="0.3">
      <c r="A2" s="32"/>
      <c r="B2" s="32"/>
      <c r="C2" s="32"/>
      <c r="D2" s="32"/>
      <c r="E2" s="32"/>
      <c r="F2" s="32"/>
      <c r="G2" s="32"/>
    </row>
    <row r="3" spans="1:9" ht="16.95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1" t="s">
        <v>7</v>
      </c>
      <c r="H3" s="12" t="s">
        <v>398</v>
      </c>
      <c r="I3" t="s">
        <v>398</v>
      </c>
    </row>
    <row r="4" spans="1:9" ht="16.95" customHeight="1" x14ac:dyDescent="0.3">
      <c r="A4" s="2">
        <v>1</v>
      </c>
      <c r="B4" s="2" t="s">
        <v>394</v>
      </c>
      <c r="C4" s="2" t="s">
        <v>314</v>
      </c>
      <c r="D4" s="2">
        <v>1</v>
      </c>
      <c r="E4" s="2" t="s">
        <v>82</v>
      </c>
      <c r="F4" s="2" t="s">
        <v>10</v>
      </c>
      <c r="G4" s="9" t="s">
        <v>11</v>
      </c>
      <c r="H4" s="10">
        <f>IF(ISNUMBER(A4),IF(INT(A4)=A4,D4*VLOOKUP($A$1,'TOP LEVEL'!$B$4:$D$64,3,0),(VLOOKUP(INT(A4),$A$4:$D$86,4,0)*D4)*VLOOKUP($A$1,'TOP LEVEL'!$B$4:$D$64,3,0)),"FIND MANUALLY")</f>
        <v>1</v>
      </c>
      <c r="I4">
        <v>1</v>
      </c>
    </row>
    <row r="5" spans="1:9" ht="16.95" customHeight="1" x14ac:dyDescent="0.3">
      <c r="A5" s="2">
        <v>1.1000000000000001</v>
      </c>
      <c r="B5" s="2" t="s">
        <v>315</v>
      </c>
      <c r="C5" s="2" t="s">
        <v>93</v>
      </c>
      <c r="D5" s="2">
        <v>2</v>
      </c>
      <c r="E5" s="2" t="s">
        <v>93</v>
      </c>
      <c r="F5" s="2" t="s">
        <v>10</v>
      </c>
      <c r="G5" s="9" t="s">
        <v>11</v>
      </c>
      <c r="H5" s="10">
        <f>IF(ISNUMBER(A5),IF(INT(A5)=A5,D5*VLOOKUP($A$1,'TOP LEVEL'!$B$4:$D$64,3,0),(VLOOKUP(INT(A5),$A$4:$D$86,4,0)*D5)*VLOOKUP($A$1,'TOP LEVEL'!$B$4:$D$64,3,0)),"FIND MANUALLY")</f>
        <v>2</v>
      </c>
      <c r="I5">
        <v>2</v>
      </c>
    </row>
    <row r="6" spans="1:9" ht="16.95" customHeight="1" x14ac:dyDescent="0.3">
      <c r="A6" s="2">
        <v>1.2</v>
      </c>
      <c r="B6" s="2" t="s">
        <v>395</v>
      </c>
      <c r="C6" s="2" t="s">
        <v>93</v>
      </c>
      <c r="D6" s="2">
        <v>2</v>
      </c>
      <c r="E6" s="2" t="s">
        <v>93</v>
      </c>
      <c r="F6" s="2" t="s">
        <v>10</v>
      </c>
      <c r="G6" s="9" t="s">
        <v>11</v>
      </c>
      <c r="H6" s="10">
        <f>IF(ISNUMBER(A6),IF(INT(A6)=A6,D6*VLOOKUP($A$1,'TOP LEVEL'!$B$4:$D$64,3,0),(VLOOKUP(INT(A6),$A$4:$D$86,4,0)*D6)*VLOOKUP($A$1,'TOP LEVEL'!$B$4:$D$64,3,0)),"FIND MANUALLY")</f>
        <v>2</v>
      </c>
      <c r="I6">
        <v>2</v>
      </c>
    </row>
    <row r="7" spans="1:9" ht="16.95" customHeight="1" x14ac:dyDescent="0.3">
      <c r="A7" s="2">
        <v>1.3</v>
      </c>
      <c r="B7" s="2" t="s">
        <v>317</v>
      </c>
      <c r="C7" s="2" t="s">
        <v>93</v>
      </c>
      <c r="D7" s="2">
        <v>2</v>
      </c>
      <c r="E7" s="2" t="s">
        <v>93</v>
      </c>
      <c r="F7" s="2" t="s">
        <v>10</v>
      </c>
      <c r="G7" s="9" t="s">
        <v>11</v>
      </c>
      <c r="H7" s="10">
        <f>IF(ISNUMBER(A7),IF(INT(A7)=A7,D7*VLOOKUP($A$1,'TOP LEVEL'!$B$4:$D$64,3,0),(VLOOKUP(INT(A7),$A$4:$D$86,4,0)*D7)*VLOOKUP($A$1,'TOP LEVEL'!$B$4:$D$64,3,0)),"FIND MANUALLY")</f>
        <v>2</v>
      </c>
      <c r="I7">
        <v>2</v>
      </c>
    </row>
    <row r="8" spans="1:9" ht="16.95" customHeight="1" x14ac:dyDescent="0.3">
      <c r="A8" s="2">
        <v>1.4</v>
      </c>
      <c r="B8" s="2" t="s">
        <v>318</v>
      </c>
      <c r="C8" s="2" t="s">
        <v>93</v>
      </c>
      <c r="D8" s="2">
        <v>1</v>
      </c>
      <c r="E8" s="2" t="s">
        <v>93</v>
      </c>
      <c r="F8" s="2" t="s">
        <v>10</v>
      </c>
      <c r="G8" s="9" t="s">
        <v>11</v>
      </c>
      <c r="H8" s="10">
        <f>IF(ISNUMBER(A8),IF(INT(A8)=A8,D8*VLOOKUP($A$1,'TOP LEVEL'!$B$4:$D$64,3,0),(VLOOKUP(INT(A8),$A$4:$D$86,4,0)*D8)*VLOOKUP($A$1,'TOP LEVEL'!$B$4:$D$64,3,0)),"FIND MANUALLY")</f>
        <v>1</v>
      </c>
      <c r="I8">
        <v>1</v>
      </c>
    </row>
    <row r="9" spans="1:9" ht="16.95" customHeight="1" x14ac:dyDescent="0.3">
      <c r="A9" s="2">
        <v>2</v>
      </c>
      <c r="B9" s="2" t="s">
        <v>396</v>
      </c>
      <c r="C9" s="2" t="s">
        <v>312</v>
      </c>
      <c r="D9" s="2">
        <v>1</v>
      </c>
      <c r="E9" s="2" t="s">
        <v>225</v>
      </c>
      <c r="F9" s="2" t="s">
        <v>10</v>
      </c>
      <c r="G9" s="9" t="s">
        <v>11</v>
      </c>
      <c r="H9" s="10">
        <f>IF(ISNUMBER(A9),IF(INT(A9)=A9,D9*VLOOKUP($A$1,'TOP LEVEL'!$B$4:$D$64,3,0),(VLOOKUP(INT(A9),$A$4:$D$86,4,0)*D9)*VLOOKUP($A$1,'TOP LEVEL'!$B$4:$D$64,3,0)),"FIND MANUALLY")</f>
        <v>1</v>
      </c>
      <c r="I9">
        <v>1</v>
      </c>
    </row>
    <row r="10" spans="1:9" ht="16.95" customHeight="1" x14ac:dyDescent="0.3">
      <c r="A10" s="2">
        <v>3</v>
      </c>
      <c r="B10" s="2" t="s">
        <v>320</v>
      </c>
      <c r="C10" s="2" t="s">
        <v>312</v>
      </c>
      <c r="D10" s="2">
        <v>1</v>
      </c>
      <c r="E10" s="2" t="s">
        <v>225</v>
      </c>
      <c r="F10" s="2" t="s">
        <v>10</v>
      </c>
      <c r="G10" s="9" t="s">
        <v>11</v>
      </c>
      <c r="H10" s="10">
        <f>IF(ISNUMBER(A10),IF(INT(A10)=A10,D10*VLOOKUP($A$1,'TOP LEVEL'!$B$4:$D$64,3,0),(VLOOKUP(INT(A10),$A$4:$D$86,4,0)*D10)*VLOOKUP($A$1,'TOP LEVEL'!$B$4:$D$64,3,0)),"FIND MANUALLY")</f>
        <v>1</v>
      </c>
      <c r="I10">
        <v>1</v>
      </c>
    </row>
    <row r="11" spans="1:9" ht="16.95" customHeight="1" x14ac:dyDescent="0.3"/>
    <row r="12" spans="1:9" ht="16.95" customHeight="1" x14ac:dyDescent="0.3"/>
    <row r="13" spans="1:9" ht="16.95" customHeight="1" x14ac:dyDescent="0.3"/>
    <row r="14" spans="1:9" ht="16.95" customHeight="1" x14ac:dyDescent="0.3"/>
    <row r="15" spans="1:9" ht="16.95" customHeight="1" x14ac:dyDescent="0.3"/>
    <row r="16" spans="1:9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16.95" customHeight="1" x14ac:dyDescent="0.3"/>
    <row r="28" ht="16.95" customHeight="1" x14ac:dyDescent="0.3"/>
    <row r="29" ht="16.95" customHeight="1" x14ac:dyDescent="0.3"/>
    <row r="30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I30"/>
  <sheetViews>
    <sheetView zoomScaleNormal="100" workbookViewId="0">
      <selection activeCell="H4" sqref="H4"/>
    </sheetView>
  </sheetViews>
  <sheetFormatPr defaultRowHeight="14.4" x14ac:dyDescent="0.3"/>
  <cols>
    <col min="1" max="1" width="12.44140625" customWidth="1"/>
    <col min="2" max="2" width="26.33203125" customWidth="1"/>
    <col min="3" max="3" width="38" customWidth="1"/>
    <col min="4" max="4" width="9.77734375" customWidth="1"/>
    <col min="5" max="5" width="15.109375" customWidth="1"/>
    <col min="6" max="6" width="17.6640625" customWidth="1"/>
    <col min="7" max="7" width="18.88671875" customWidth="1"/>
    <col min="8" max="8" width="15.21875" style="8" customWidth="1"/>
    <col min="9" max="1025" width="8.5546875" customWidth="1"/>
  </cols>
  <sheetData>
    <row r="1" spans="1:9" ht="13.8" customHeight="1" x14ac:dyDescent="0.3">
      <c r="A1" s="33" t="s">
        <v>98</v>
      </c>
      <c r="B1" s="33"/>
      <c r="C1" s="33"/>
      <c r="D1" s="33"/>
      <c r="E1" s="33"/>
      <c r="F1" s="33"/>
      <c r="G1" s="33"/>
    </row>
    <row r="2" spans="1:9" ht="33" customHeight="1" x14ac:dyDescent="0.3">
      <c r="A2" s="33"/>
      <c r="B2" s="33"/>
      <c r="C2" s="33"/>
      <c r="D2" s="33"/>
      <c r="E2" s="33"/>
      <c r="F2" s="33"/>
      <c r="G2" s="33"/>
    </row>
    <row r="3" spans="1:9" ht="17.399999999999999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1" t="s">
        <v>7</v>
      </c>
      <c r="H3" s="12" t="s">
        <v>398</v>
      </c>
      <c r="I3" t="s">
        <v>398</v>
      </c>
    </row>
    <row r="4" spans="1:9" ht="15" x14ac:dyDescent="0.3">
      <c r="A4" s="2">
        <v>1</v>
      </c>
      <c r="B4" s="2" t="s">
        <v>277</v>
      </c>
      <c r="C4" s="2" t="s">
        <v>174</v>
      </c>
      <c r="D4" s="2">
        <v>1</v>
      </c>
      <c r="E4" s="2" t="s">
        <v>90</v>
      </c>
      <c r="F4" s="2" t="s">
        <v>10</v>
      </c>
      <c r="G4" s="9" t="s">
        <v>11</v>
      </c>
      <c r="H4" s="10">
        <f>IF(ISNUMBER(A4),IF(INT(A4)=A4,D4*VLOOKUP($A$1,'TOP LEVEL'!$B$4:$D$64,3,0),(VLOOKUP(INT(A4),$A$4:$D$86,4,0)*D4)*VLOOKUP($A$1,'TOP LEVEL'!$B$4:$D$64,3,0)),"FIND MANUALLY")</f>
        <v>1</v>
      </c>
      <c r="I4">
        <v>1</v>
      </c>
    </row>
    <row r="5" spans="1:9" ht="15" x14ac:dyDescent="0.3">
      <c r="A5" s="2">
        <v>2</v>
      </c>
      <c r="B5" s="2" t="s">
        <v>397</v>
      </c>
      <c r="C5" s="2" t="s">
        <v>93</v>
      </c>
      <c r="D5" s="2">
        <v>1</v>
      </c>
      <c r="E5" s="2" t="s">
        <v>93</v>
      </c>
      <c r="F5" s="2" t="s">
        <v>10</v>
      </c>
      <c r="G5" s="9" t="s">
        <v>11</v>
      </c>
      <c r="H5" s="10">
        <f>IF(ISNUMBER(A5),IF(INT(A5)=A5,D5*VLOOKUP($A$1,'TOP LEVEL'!$B$4:$D$64,3,0),(VLOOKUP(INT(A5),$A$4:$D$86,4,0)*D5)*VLOOKUP($A$1,'TOP LEVEL'!$B$4:$D$64,3,0)),"FIND MANUALLY")</f>
        <v>1</v>
      </c>
      <c r="I5">
        <v>1</v>
      </c>
    </row>
    <row r="8" spans="1:9" ht="16.95" customHeight="1" x14ac:dyDescent="0.3"/>
    <row r="9" spans="1:9" ht="16.95" customHeight="1" x14ac:dyDescent="0.3"/>
    <row r="10" spans="1:9" ht="16.95" customHeight="1" x14ac:dyDescent="0.3"/>
    <row r="11" spans="1:9" ht="16.95" customHeight="1" x14ac:dyDescent="0.3"/>
    <row r="12" spans="1:9" ht="16.95" customHeight="1" x14ac:dyDescent="0.3"/>
    <row r="13" spans="1:9" ht="16.95" customHeight="1" x14ac:dyDescent="0.3"/>
    <row r="14" spans="1:9" ht="16.95" customHeight="1" x14ac:dyDescent="0.3"/>
    <row r="15" spans="1:9" ht="16.95" customHeight="1" x14ac:dyDescent="0.3"/>
    <row r="16" spans="1:9" ht="16.95" customHeight="1" x14ac:dyDescent="0.3"/>
    <row r="17" ht="16.95" customHeight="1" x14ac:dyDescent="0.3"/>
    <row r="18" ht="16.95" customHeight="1" x14ac:dyDescent="0.3"/>
    <row r="19" ht="16.95" customHeight="1" x14ac:dyDescent="0.3"/>
    <row r="20" ht="16.95" customHeight="1" x14ac:dyDescent="0.3"/>
    <row r="21" ht="16.95" customHeight="1" x14ac:dyDescent="0.3"/>
    <row r="22" ht="16.95" customHeight="1" x14ac:dyDescent="0.3"/>
    <row r="23" ht="16.95" customHeight="1" x14ac:dyDescent="0.3"/>
    <row r="24" ht="16.95" customHeight="1" x14ac:dyDescent="0.3"/>
    <row r="25" ht="16.95" customHeight="1" x14ac:dyDescent="0.3"/>
    <row r="26" ht="16.95" customHeight="1" x14ac:dyDescent="0.3"/>
    <row r="27" ht="16.95" customHeight="1" x14ac:dyDescent="0.3"/>
    <row r="28" ht="16.95" customHeight="1" x14ac:dyDescent="0.3"/>
    <row r="29" ht="16.95" customHeight="1" x14ac:dyDescent="0.3"/>
    <row r="30" ht="16.95" customHeight="1" x14ac:dyDescent="0.3"/>
  </sheetData>
  <mergeCells count="1">
    <mergeCell ref="A1:G2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326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</vt:i4>
      </vt:variant>
    </vt:vector>
  </HeadingPairs>
  <TitlesOfParts>
    <vt:vector size="23" baseType="lpstr">
      <vt:lpstr>Summary</vt:lpstr>
      <vt:lpstr>TOP LEVEL</vt:lpstr>
      <vt:lpstr>SP-18808</vt:lpstr>
      <vt:lpstr>SP-19131</vt:lpstr>
      <vt:lpstr>SP-19094</vt:lpstr>
      <vt:lpstr>WTNW-008</vt:lpstr>
      <vt:lpstr>SP-18934</vt:lpstr>
      <vt:lpstr>SP-19231</vt:lpstr>
      <vt:lpstr>SP-19226</vt:lpstr>
      <vt:lpstr>WTNW-011</vt:lpstr>
      <vt:lpstr>SP-19203</vt:lpstr>
      <vt:lpstr>SP-19176</vt:lpstr>
      <vt:lpstr>SP-19181</vt:lpstr>
      <vt:lpstr>SP-19321</vt:lpstr>
      <vt:lpstr>SP-19378</vt:lpstr>
      <vt:lpstr>SP-19255</vt:lpstr>
      <vt:lpstr>SP-19338</vt:lpstr>
      <vt:lpstr>SP-18933</vt:lpstr>
      <vt:lpstr>SP-19767</vt:lpstr>
      <vt:lpstr>SP-27592</vt:lpstr>
      <vt:lpstr>SP-19127</vt:lpstr>
      <vt:lpstr>SP-20382</vt:lpstr>
      <vt:lpstr>Summary!Criteria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PAND-4</dc:creator>
  <dc:description/>
  <cp:lastModifiedBy>SAIN-2</cp:lastModifiedBy>
  <cp:revision>31</cp:revision>
  <dcterms:created xsi:type="dcterms:W3CDTF">2019-04-02T11:25:04Z</dcterms:created>
  <dcterms:modified xsi:type="dcterms:W3CDTF">2023-07-12T06:29:45Z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